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CI" sheetId="1" state="visible" r:id="rId3"/>
    <sheet name="Team Roles &amp; PM Needs" sheetId="2" state="visible" r:id="rId4"/>
  </sheets>
  <definedNames>
    <definedName function="false" hidden="false" localSheetId="0" name="_xlnm.Print_Titles" vbProcedure="false">RACI!$5:$5</definedName>
    <definedName function="false" hidden="true" localSheetId="0" name="_xlnm._FilterDatabase" vbProcedure="false">RACI!$A$5:$L$30</definedName>
    <definedName function="false" hidden="false" localSheetId="1" name="_xlnm.Print_Titles" vbProcedure="false">'Team Roles &amp; PM Needs'!$5:$5</definedName>
    <definedName function="false" hidden="true" localSheetId="1" name="_xlnm._FilterDatabase" vbProcedure="false">'Team Roles &amp; PM Needs'!$A$5:$F$13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<sst xmlns="http://schemas.openxmlformats.org/spreadsheetml/2006/main" count="283" uniqueCount="79">
  <si>
    <t xml:space="preserve">RACI Matrix - AI Customer Support Platform</t>
  </si>
  <si>
    <t xml:space="preserve">SIMULATED PROJECT - Self-directed portfolio case study. Not professional experience, not client work, not employment. All people, figures and outcomes are fictional.</t>
  </si>
  <si>
    <t xml:space="preserve">R = Responsible, A = Accountable, C = Consulted, I = Informed. 'A/R' means the same role is accountable and does the work. Rule: exactly one A per activity and at least one R (checked by formula). Executive Sponsor and Steering Committee approvals sit outside the delivery roles shown; where a sponsor sign-off is needed the Project Manager is accountable for obtaining it. The Backend Developer acts as technical lead.</t>
  </si>
  <si>
    <t xml:space="preserve">Activity</t>
  </si>
  <si>
    <t xml:space="preserve">Project Manager</t>
  </si>
  <si>
    <t xml:space="preserve">Product Manager</t>
  </si>
  <si>
    <t xml:space="preserve">AI/ML Engineer</t>
  </si>
  <si>
    <t xml:space="preserve">Backend Developer</t>
  </si>
  <si>
    <t xml:space="preserve">Frontend Developer</t>
  </si>
  <si>
    <t xml:space="preserve">UI/UX Designer</t>
  </si>
  <si>
    <t xml:space="preserve">QA Engineer</t>
  </si>
  <si>
    <t xml:space="preserve">DevOps Engineer</t>
  </si>
  <si>
    <t xml:space="preserve">A count</t>
  </si>
  <si>
    <t xml:space="preserve">R count</t>
  </si>
  <si>
    <t xml:space="preserve">Check</t>
  </si>
  <si>
    <t xml:space="preserve">Project Charter and business case</t>
  </si>
  <si>
    <t xml:space="preserve">A/R</t>
  </si>
  <si>
    <t xml:space="preserve">C</t>
  </si>
  <si>
    <t xml:space="preserve">I</t>
  </si>
  <si>
    <t xml:space="preserve">Scope baseline and change control</t>
  </si>
  <si>
    <t xml:space="preserve">A</t>
  </si>
  <si>
    <t xml:space="preserve">R</t>
  </si>
  <si>
    <t xml:space="preserve">Requirements elicitation and documentation</t>
  </si>
  <si>
    <t xml:space="preserve">Backlog creation, prioritisation and refinement</t>
  </si>
  <si>
    <t xml:space="preserve">Sprint planning and sprint goals</t>
  </si>
  <si>
    <t xml:space="preserve">Schedule, WBS and milestone tracking</t>
  </si>
  <si>
    <t xml:space="preserve">Risk, issue and dependency management</t>
  </si>
  <si>
    <t xml:space="preserve">Stakeholder communication and status reporting</t>
  </si>
  <si>
    <t xml:space="preserve">UX research, wireframes and prototype</t>
  </si>
  <si>
    <t xml:space="preserve">Solution architecture and technology choices</t>
  </si>
  <si>
    <t xml:space="preserve">LLM and embedding evaluation (spike)</t>
  </si>
  <si>
    <t xml:space="preserve">Database design and schema</t>
  </si>
  <si>
    <t xml:space="preserve">Authentication and role-based access</t>
  </si>
  <si>
    <t xml:space="preserve">KB ingestion pipeline and RAG service</t>
  </si>
  <si>
    <t xml:space="preserve">Guardrails, PII redaction and fallback logic</t>
  </si>
  <si>
    <t xml:space="preserve">Frontend development (chat, admin, agent, dashboard)</t>
  </si>
  <si>
    <t xml:space="preserve">API and integration (email, LLM, end-to-end flows)</t>
  </si>
  <si>
    <t xml:space="preserve">Test strategy, golden set and AI evaluation</t>
  </si>
  <si>
    <t xml:space="preserve">Security testing and vulnerability management</t>
  </si>
  <si>
    <t xml:space="preserve">Performance and load testing</t>
  </si>
  <si>
    <t xml:space="preserve">UAT planning and coordination</t>
  </si>
  <si>
    <t xml:space="preserve">Environments, CI/CD and monitoring</t>
  </si>
  <si>
    <t xml:space="preserve">Go/No-Go and production release</t>
  </si>
  <si>
    <t xml:space="preserve">Documentation and user training</t>
  </si>
  <si>
    <t xml:space="preserve">Project closure and lessons learned</t>
  </si>
  <si>
    <t xml:space="preserve">Activities passing check</t>
  </si>
  <si>
    <t xml:space="preserve">Project Team: Responsibilities, Dependencies and PM Needs</t>
  </si>
  <si>
    <t xml:space="preserve">The PM coordinates and removes blockers; the PM does not perform the technical work. FTE values are simulated planning assumptions.</t>
  </si>
  <si>
    <t xml:space="preserve">Role</t>
  </si>
  <si>
    <t xml:space="preserve">FTE (planning)</t>
  </si>
  <si>
    <t xml:space="preserve">Person-weeks (10 wks)</t>
  </si>
  <si>
    <t xml:space="preserve">Responsibilities</t>
  </si>
  <si>
    <t xml:space="preserve">Dependencies</t>
  </si>
  <si>
    <t xml:space="preserve">What the PM needs from this role</t>
  </si>
  <si>
    <t xml:space="preserve">Plans and controls the project: scope baseline, schedule, risks, issues, dependencies, change control, stakeholder communication, status reporting; facilitates Scrum ceremonies and removes blockers. Does not design, code or test.</t>
  </si>
  <si>
    <t xml:space="preserve">Product Manager for priorities; Sponsor for decisions and budget; team leads for estimates.</t>
  </si>
  <si>
    <t xml:space="preserve">Honest estimates and early warning of slippage; updates on the board daily; named risk owners acting on mitigations.</t>
  </si>
  <si>
    <t xml:space="preserve">Owns the product vision and backlog; sets priorities and accepts stories; leads requirements and content readiness; trains Support users.</t>
  </si>
  <si>
    <t xml:space="preserve">Support Manager and KB Admin for domain knowledge; PM for planning support.</t>
  </si>
  <si>
    <t xml:space="preserve">Timely prioritisation decisions (within 2 business days); acceptance of finished stories during the sprint; ownership of content quality.</t>
  </si>
  <si>
    <t xml:space="preserve">Evaluates and integrates LLM and embedding models; builds ingestion, retrieval, answer generation, guardrails and PII redaction; tunes prompts and thresholds using evaluation results.</t>
  </si>
  <si>
    <t xml:space="preserve">Backend (APIs, DB); QA (golden set); Security &amp; Privacy Officer (provider terms); Product Manager (content).</t>
  </si>
  <si>
    <t xml:space="preserve">Evaluation results each sprint with failure causes; clear flag when quality targets are at risk; cost and latency numbers.</t>
  </si>
  <si>
    <t xml:space="preserve">Builds APIs, authentication, RBAC, conversation and escalation services, notifications, retention and audit logging; acts as technical lead for architecture choices.</t>
  </si>
  <si>
    <t xml:space="preserve">AI/ML (answer service); DevOps (environments, secrets); UX/Frontend (API contracts).</t>
  </si>
  <si>
    <t xml:space="preserve">API contracts agreed early; integration status each week; security-fix estimates.</t>
  </si>
  <si>
    <t xml:space="preserve">Builds the customer chat, admin KB screens, agent console and manager dashboard from the approved designs.</t>
  </si>
  <si>
    <t xml:space="preserve">UX (designs); Backend (APIs); AI/ML (answer payload format).</t>
  </si>
  <si>
    <t xml:space="preserve">Design-to-build questions raised early; component progress visible on the board; accessibility issues reported promptly.</t>
  </si>
  <si>
    <t xml:space="preserve">Researches flows, produces wireframes, prototype and final designs; runs usability sessions with agents; supports design acceptance.</t>
  </si>
  <si>
    <t xml:space="preserve">Product Manager (priorities); Support agents (testers); Frontend (handoff).</t>
  </si>
  <si>
    <t xml:space="preserve">Access to agents in Weeks 1-4; fast design decisions; clear definition of MVP screens.</t>
  </si>
  <si>
    <t xml:space="preserve">Defines test strategy; builds golden question set and evaluation script; runs functional, security, performance and UAT testing; tracks defects and quality metrics.</t>
  </si>
  <si>
    <t xml:space="preserve">AI/ML and Backend (testable builds); Product Manager (reference answers); Support (UAT participants).</t>
  </si>
  <si>
    <t xml:space="preserve">Testable builds at sprint review; defect triage within 1 business day; agreed severity definitions.</t>
  </si>
  <si>
    <t xml:space="preserve">Builds environments and CI/CD, secrets and TLS, monitoring and alerts, performance tuning, release and rollback; supports hypercare.</t>
  </si>
  <si>
    <t xml:space="preserve">Backend and AI/ML (deployment needs); Cloud and email accounts; Security &amp; Privacy Officer.</t>
  </si>
  <si>
    <t xml:space="preserve">Early notice of infrastructure needs; deployment calendar; monitoring dashboards visible to PM.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</si>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</sst>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9"/>
      <color rgb="FF9C000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5F8FC"/>
      </patternFill>
    </fill>
    <fill>
      <patternFill patternType="solid">
        <fgColor rgb="FF1F3864"/>
        <bgColor rgb="FF333399"/>
      </patternFill>
    </fill>
    <fill>
      <patternFill patternType="solid">
        <fgColor rgb="FFF5F8FC"/>
        <bgColor rgb="FFFFFFFF"/>
      </patternFill>
    </fill>
    <fill>
      <patternFill patternType="solid">
        <fgColor rgb="FFDCE6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6B5200"/>
          <bgColor rgb="FF000000"/>
        </patternFill>
      </fill>
    </dxf>
    <dxf>
      <fill>
        <patternFill patternType="solid">
          <fgColor rgb="FF7B1E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7B1E00"/>
      </font>
      <fill>
        <patternFill>
          <bgColor rgb="FFF4B183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9DC3E6"/>
        </patternFill>
      </fill>
    </dxf>
    <dxf>
      <font>
        <name val="Arial"/>
        <charset val="1"/>
        <family val="0"/>
        <b val="1"/>
        <color rgb="FF6B52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6B5200"/>
      <rgbColor rgb="FF800080"/>
      <rgbColor rgb="FF008080"/>
      <rgbColor rgb="FFBFBFBF"/>
      <rgbColor rgb="FF7F7F7F"/>
      <rgbColor rgb="FF9999FF"/>
      <rgbColor rgb="FF993366"/>
      <rgbColor rgb="FFFFF2CC"/>
      <rgbColor rgb="FFDCE6F2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C"/>
      <rgbColor rgb="FFC6EFCE"/>
      <rgbColor rgb="FFFFE699"/>
      <rgbColor rgb="FF9DC3E6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1E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2"/>
    <col collapsed="false" customWidth="true" hidden="false" outlineLevel="0" max="11" min="10" style="0" width="8"/>
    <col collapsed="false" customWidth="true" hidden="false" outlineLevel="0" max="12" min="12" style="0" width="9"/>
  </cols>
  <sheetData>
    <row r="1" customFormat="false" ht="24" hidden="false" customHeight="tru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0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43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6.5" hidden="false" customHeight="true" outlineLevel="0" collapsed="false">
      <c r="A6" s="5" t="s">
        <v>15</v>
      </c>
      <c r="B6" s="6" t="s">
        <v>16</v>
      </c>
      <c r="C6" s="6" t="s">
        <v>17</v>
      </c>
      <c r="D6" s="6" t="s">
        <v>17</v>
      </c>
      <c r="E6" s="6" t="s">
        <v>17</v>
      </c>
      <c r="F6" s="6" t="s">
        <v>18</v>
      </c>
      <c r="G6" s="6" t="s">
        <v>18</v>
      </c>
      <c r="H6" s="6" t="s">
        <v>18</v>
      </c>
      <c r="I6" s="6" t="s">
        <v>18</v>
      </c>
      <c r="J6" s="7" t="n">
        <f aca="false">SUMPRODUCT(--ISNUMBER(SEARCH("A",B6:I6)))</f>
        <v>1</v>
      </c>
      <c r="K6" s="7" t="n">
        <f aca="false">SUMPRODUCT(--ISNUMBER(SEARCH("R",B6:I6)))</f>
        <v>1</v>
      </c>
      <c r="L6" s="6" t="str">
        <f aca="false">IF(AND(J6=1,K6&gt;=1),"OK","CHECK")</f>
        <v>OK</v>
      </c>
    </row>
    <row r="7" customFormat="false" ht="16.5" hidden="false" customHeight="true" outlineLevel="0" collapsed="false">
      <c r="A7" s="5" t="s">
        <v>19</v>
      </c>
      <c r="B7" s="6" t="s">
        <v>20</v>
      </c>
      <c r="C7" s="6" t="s">
        <v>21</v>
      </c>
      <c r="D7" s="6" t="s">
        <v>17</v>
      </c>
      <c r="E7" s="6" t="s">
        <v>17</v>
      </c>
      <c r="F7" s="6" t="s">
        <v>17</v>
      </c>
      <c r="G7" s="6" t="s">
        <v>17</v>
      </c>
      <c r="H7" s="6" t="s">
        <v>17</v>
      </c>
      <c r="I7" s="6" t="s">
        <v>18</v>
      </c>
      <c r="J7" s="7" t="n">
        <f aca="false">SUMPRODUCT(--ISNUMBER(SEARCH("A",B7:I7)))</f>
        <v>1</v>
      </c>
      <c r="K7" s="7" t="n">
        <f aca="false">SUMPRODUCT(--ISNUMBER(SEARCH("R",B7:I7)))</f>
        <v>1</v>
      </c>
      <c r="L7" s="6" t="str">
        <f aca="false">IF(AND(J7=1,K7&gt;=1),"OK","CHECK")</f>
        <v>OK</v>
      </c>
    </row>
    <row r="8" customFormat="false" ht="16.5" hidden="false" customHeight="true" outlineLevel="0" collapsed="false">
      <c r="A8" s="5" t="s">
        <v>22</v>
      </c>
      <c r="B8" s="6" t="s">
        <v>21</v>
      </c>
      <c r="C8" s="6" t="s">
        <v>16</v>
      </c>
      <c r="D8" s="6" t="s">
        <v>17</v>
      </c>
      <c r="E8" s="6" t="s">
        <v>17</v>
      </c>
      <c r="F8" s="6" t="s">
        <v>17</v>
      </c>
      <c r="G8" s="6" t="s">
        <v>17</v>
      </c>
      <c r="H8" s="6" t="s">
        <v>17</v>
      </c>
      <c r="I8" s="6" t="s">
        <v>18</v>
      </c>
      <c r="J8" s="7" t="n">
        <f aca="false">SUMPRODUCT(--ISNUMBER(SEARCH("A",B8:I8)))</f>
        <v>1</v>
      </c>
      <c r="K8" s="7" t="n">
        <f aca="false">SUMPRODUCT(--ISNUMBER(SEARCH("R",B8:I8)))</f>
        <v>2</v>
      </c>
      <c r="L8" s="6" t="str">
        <f aca="false">IF(AND(J8=1,K8&gt;=1),"OK","CHECK")</f>
        <v>OK</v>
      </c>
    </row>
    <row r="9" customFormat="false" ht="16.5" hidden="false" customHeight="true" outlineLevel="0" collapsed="false">
      <c r="A9" s="5" t="s">
        <v>23</v>
      </c>
      <c r="B9" s="6" t="s">
        <v>21</v>
      </c>
      <c r="C9" s="6" t="s">
        <v>16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18</v>
      </c>
      <c r="J9" s="7" t="n">
        <f aca="false">SUMPRODUCT(--ISNUMBER(SEARCH("A",B9:I9)))</f>
        <v>1</v>
      </c>
      <c r="K9" s="7" t="n">
        <f aca="false">SUMPRODUCT(--ISNUMBER(SEARCH("R",B9:I9)))</f>
        <v>2</v>
      </c>
      <c r="L9" s="6" t="str">
        <f aca="false">IF(AND(J9=1,K9&gt;=1),"OK","CHECK")</f>
        <v>OK</v>
      </c>
    </row>
    <row r="10" customFormat="false" ht="16.5" hidden="false" customHeight="true" outlineLevel="0" collapsed="false">
      <c r="A10" s="5" t="s">
        <v>24</v>
      </c>
      <c r="B10" s="6" t="s">
        <v>20</v>
      </c>
      <c r="C10" s="6" t="s">
        <v>21</v>
      </c>
      <c r="D10" s="6" t="s">
        <v>21</v>
      </c>
      <c r="E10" s="6" t="s">
        <v>21</v>
      </c>
      <c r="F10" s="6" t="s">
        <v>21</v>
      </c>
      <c r="G10" s="6" t="s">
        <v>17</v>
      </c>
      <c r="H10" s="6" t="s">
        <v>21</v>
      </c>
      <c r="I10" s="6" t="s">
        <v>17</v>
      </c>
      <c r="J10" s="7" t="n">
        <f aca="false">SUMPRODUCT(--ISNUMBER(SEARCH("A",B10:I10)))</f>
        <v>1</v>
      </c>
      <c r="K10" s="7" t="n">
        <f aca="false">SUMPRODUCT(--ISNUMBER(SEARCH("R",B10:I10)))</f>
        <v>5</v>
      </c>
      <c r="L10" s="6" t="str">
        <f aca="false">IF(AND(J10=1,K10&gt;=1),"OK","CHECK")</f>
        <v>OK</v>
      </c>
    </row>
    <row r="11" customFormat="false" ht="16.5" hidden="false" customHeight="true" outlineLevel="0" collapsed="false">
      <c r="A11" s="5" t="s">
        <v>25</v>
      </c>
      <c r="B11" s="6" t="s">
        <v>16</v>
      </c>
      <c r="C11" s="6" t="s">
        <v>17</v>
      </c>
      <c r="D11" s="6" t="s">
        <v>18</v>
      </c>
      <c r="E11" s="6" t="s">
        <v>18</v>
      </c>
      <c r="F11" s="6" t="s">
        <v>18</v>
      </c>
      <c r="G11" s="6" t="s">
        <v>18</v>
      </c>
      <c r="H11" s="6" t="s">
        <v>18</v>
      </c>
      <c r="I11" s="6" t="s">
        <v>18</v>
      </c>
      <c r="J11" s="7" t="n">
        <f aca="false">SUMPRODUCT(--ISNUMBER(SEARCH("A",B11:I11)))</f>
        <v>1</v>
      </c>
      <c r="K11" s="7" t="n">
        <f aca="false">SUMPRODUCT(--ISNUMBER(SEARCH("R",B11:I11)))</f>
        <v>1</v>
      </c>
      <c r="L11" s="6" t="str">
        <f aca="false">IF(AND(J11=1,K11&gt;=1),"OK","CHECK")</f>
        <v>OK</v>
      </c>
    </row>
    <row r="12" customFormat="false" ht="16.5" hidden="false" customHeight="true" outlineLevel="0" collapsed="false">
      <c r="A12" s="5" t="s">
        <v>26</v>
      </c>
      <c r="B12" s="6" t="s">
        <v>16</v>
      </c>
      <c r="C12" s="6" t="s">
        <v>17</v>
      </c>
      <c r="D12" s="6" t="s">
        <v>17</v>
      </c>
      <c r="E12" s="6" t="s">
        <v>17</v>
      </c>
      <c r="F12" s="6" t="s">
        <v>17</v>
      </c>
      <c r="G12" s="6" t="s">
        <v>18</v>
      </c>
      <c r="H12" s="6" t="s">
        <v>17</v>
      </c>
      <c r="I12" s="6" t="s">
        <v>17</v>
      </c>
      <c r="J12" s="7" t="n">
        <f aca="false">SUMPRODUCT(--ISNUMBER(SEARCH("A",B12:I12)))</f>
        <v>1</v>
      </c>
      <c r="K12" s="7" t="n">
        <f aca="false">SUMPRODUCT(--ISNUMBER(SEARCH("R",B12:I12)))</f>
        <v>1</v>
      </c>
      <c r="L12" s="6" t="str">
        <f aca="false">IF(AND(J12=1,K12&gt;=1),"OK","CHECK")</f>
        <v>OK</v>
      </c>
    </row>
    <row r="13" customFormat="false" ht="16.5" hidden="false" customHeight="true" outlineLevel="0" collapsed="false">
      <c r="A13" s="5" t="s">
        <v>27</v>
      </c>
      <c r="B13" s="6" t="s">
        <v>16</v>
      </c>
      <c r="C13" s="6" t="s">
        <v>17</v>
      </c>
      <c r="D13" s="6" t="s">
        <v>18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7" t="n">
        <f aca="false">SUMPRODUCT(--ISNUMBER(SEARCH("A",B13:I13)))</f>
        <v>1</v>
      </c>
      <c r="K13" s="7" t="n">
        <f aca="false">SUMPRODUCT(--ISNUMBER(SEARCH("R",B13:I13)))</f>
        <v>1</v>
      </c>
      <c r="L13" s="6" t="str">
        <f aca="false">IF(AND(J13=1,K13&gt;=1),"OK","CHECK")</f>
        <v>OK</v>
      </c>
    </row>
    <row r="14" customFormat="false" ht="16.5" hidden="false" customHeight="true" outlineLevel="0" collapsed="false">
      <c r="A14" s="5" t="s">
        <v>28</v>
      </c>
      <c r="B14" s="6" t="s">
        <v>18</v>
      </c>
      <c r="C14" s="6" t="s">
        <v>17</v>
      </c>
      <c r="D14" s="6" t="s">
        <v>18</v>
      </c>
      <c r="E14" s="6" t="s">
        <v>18</v>
      </c>
      <c r="F14" s="6" t="s">
        <v>17</v>
      </c>
      <c r="G14" s="6" t="s">
        <v>16</v>
      </c>
      <c r="H14" s="6" t="s">
        <v>18</v>
      </c>
      <c r="I14" s="6" t="s">
        <v>18</v>
      </c>
      <c r="J14" s="7" t="n">
        <f aca="false">SUMPRODUCT(--ISNUMBER(SEARCH("A",B14:I14)))</f>
        <v>1</v>
      </c>
      <c r="K14" s="7" t="n">
        <f aca="false">SUMPRODUCT(--ISNUMBER(SEARCH("R",B14:I14)))</f>
        <v>1</v>
      </c>
      <c r="L14" s="6" t="str">
        <f aca="false">IF(AND(J14=1,K14&gt;=1),"OK","CHECK")</f>
        <v>OK</v>
      </c>
    </row>
    <row r="15" customFormat="false" ht="16.5" hidden="false" customHeight="true" outlineLevel="0" collapsed="false">
      <c r="A15" s="5" t="s">
        <v>29</v>
      </c>
      <c r="B15" s="6" t="s">
        <v>17</v>
      </c>
      <c r="C15" s="6" t="s">
        <v>17</v>
      </c>
      <c r="D15" s="6" t="s">
        <v>21</v>
      </c>
      <c r="E15" s="6" t="s">
        <v>16</v>
      </c>
      <c r="F15" s="6" t="s">
        <v>17</v>
      </c>
      <c r="G15" s="6" t="s">
        <v>18</v>
      </c>
      <c r="H15" s="6" t="s">
        <v>17</v>
      </c>
      <c r="I15" s="6" t="s">
        <v>21</v>
      </c>
      <c r="J15" s="7" t="n">
        <f aca="false">SUMPRODUCT(--ISNUMBER(SEARCH("A",B15:I15)))</f>
        <v>1</v>
      </c>
      <c r="K15" s="7" t="n">
        <f aca="false">SUMPRODUCT(--ISNUMBER(SEARCH("R",B15:I15)))</f>
        <v>3</v>
      </c>
      <c r="L15" s="6" t="str">
        <f aca="false">IF(AND(J15=1,K15&gt;=1),"OK","CHECK")</f>
        <v>OK</v>
      </c>
    </row>
    <row r="16" customFormat="false" ht="16.5" hidden="false" customHeight="true" outlineLevel="0" collapsed="false">
      <c r="A16" s="5" t="s">
        <v>30</v>
      </c>
      <c r="B16" s="6" t="s">
        <v>17</v>
      </c>
      <c r="C16" s="6" t="s">
        <v>17</v>
      </c>
      <c r="D16" s="6" t="s">
        <v>16</v>
      </c>
      <c r="E16" s="6" t="s">
        <v>17</v>
      </c>
      <c r="F16" s="6" t="s">
        <v>18</v>
      </c>
      <c r="G16" s="6" t="s">
        <v>18</v>
      </c>
      <c r="H16" s="6" t="s">
        <v>17</v>
      </c>
      <c r="I16" s="6" t="s">
        <v>17</v>
      </c>
      <c r="J16" s="7" t="n">
        <f aca="false">SUMPRODUCT(--ISNUMBER(SEARCH("A",B16:I16)))</f>
        <v>1</v>
      </c>
      <c r="K16" s="7" t="n">
        <f aca="false">SUMPRODUCT(--ISNUMBER(SEARCH("R",B16:I16)))</f>
        <v>1</v>
      </c>
      <c r="L16" s="6" t="str">
        <f aca="false">IF(AND(J16=1,K16&gt;=1),"OK","CHECK")</f>
        <v>OK</v>
      </c>
    </row>
    <row r="17" customFormat="false" ht="16.5" hidden="false" customHeight="true" outlineLevel="0" collapsed="false">
      <c r="A17" s="5" t="s">
        <v>31</v>
      </c>
      <c r="B17" s="6" t="s">
        <v>18</v>
      </c>
      <c r="C17" s="6" t="s">
        <v>18</v>
      </c>
      <c r="D17" s="6" t="s">
        <v>17</v>
      </c>
      <c r="E17" s="6" t="s">
        <v>16</v>
      </c>
      <c r="F17" s="6" t="s">
        <v>17</v>
      </c>
      <c r="G17" s="6" t="s">
        <v>18</v>
      </c>
      <c r="H17" s="6" t="s">
        <v>18</v>
      </c>
      <c r="I17" s="6" t="s">
        <v>17</v>
      </c>
      <c r="J17" s="7" t="n">
        <f aca="false">SUMPRODUCT(--ISNUMBER(SEARCH("A",B17:I17)))</f>
        <v>1</v>
      </c>
      <c r="K17" s="7" t="n">
        <f aca="false">SUMPRODUCT(--ISNUMBER(SEARCH("R",B17:I17)))</f>
        <v>1</v>
      </c>
      <c r="L17" s="6" t="str">
        <f aca="false">IF(AND(J17=1,K17&gt;=1),"OK","CHECK")</f>
        <v>OK</v>
      </c>
    </row>
    <row r="18" customFormat="false" ht="16.5" hidden="false" customHeight="true" outlineLevel="0" collapsed="false">
      <c r="A18" s="5" t="s">
        <v>32</v>
      </c>
      <c r="B18" s="6" t="s">
        <v>18</v>
      </c>
      <c r="C18" s="6" t="s">
        <v>17</v>
      </c>
      <c r="D18" s="6" t="s">
        <v>18</v>
      </c>
      <c r="E18" s="6" t="s">
        <v>16</v>
      </c>
      <c r="F18" s="6" t="s">
        <v>17</v>
      </c>
      <c r="G18" s="6" t="s">
        <v>18</v>
      </c>
      <c r="H18" s="6" t="s">
        <v>17</v>
      </c>
      <c r="I18" s="6" t="s">
        <v>17</v>
      </c>
      <c r="J18" s="7" t="n">
        <f aca="false">SUMPRODUCT(--ISNUMBER(SEARCH("A",B18:I18)))</f>
        <v>1</v>
      </c>
      <c r="K18" s="7" t="n">
        <f aca="false">SUMPRODUCT(--ISNUMBER(SEARCH("R",B18:I18)))</f>
        <v>1</v>
      </c>
      <c r="L18" s="6" t="str">
        <f aca="false">IF(AND(J18=1,K18&gt;=1),"OK","CHECK")</f>
        <v>OK</v>
      </c>
    </row>
    <row r="19" customFormat="false" ht="16.5" hidden="false" customHeight="true" outlineLevel="0" collapsed="false">
      <c r="A19" s="5" t="s">
        <v>33</v>
      </c>
      <c r="B19" s="6" t="s">
        <v>18</v>
      </c>
      <c r="C19" s="6" t="s">
        <v>17</v>
      </c>
      <c r="D19" s="6" t="s">
        <v>16</v>
      </c>
      <c r="E19" s="6" t="s">
        <v>17</v>
      </c>
      <c r="F19" s="6" t="s">
        <v>18</v>
      </c>
      <c r="G19" s="6" t="s">
        <v>18</v>
      </c>
      <c r="H19" s="6" t="s">
        <v>17</v>
      </c>
      <c r="I19" s="6" t="s">
        <v>17</v>
      </c>
      <c r="J19" s="7" t="n">
        <f aca="false">SUMPRODUCT(--ISNUMBER(SEARCH("A",B19:I19)))</f>
        <v>1</v>
      </c>
      <c r="K19" s="7" t="n">
        <f aca="false">SUMPRODUCT(--ISNUMBER(SEARCH("R",B19:I19)))</f>
        <v>1</v>
      </c>
      <c r="L19" s="6" t="str">
        <f aca="false">IF(AND(J19=1,K19&gt;=1),"OK","CHECK")</f>
        <v>OK</v>
      </c>
    </row>
    <row r="20" customFormat="false" ht="16.5" hidden="false" customHeight="true" outlineLevel="0" collapsed="false">
      <c r="A20" s="5" t="s">
        <v>34</v>
      </c>
      <c r="B20" s="6" t="s">
        <v>18</v>
      </c>
      <c r="C20" s="6" t="s">
        <v>17</v>
      </c>
      <c r="D20" s="6" t="s">
        <v>16</v>
      </c>
      <c r="E20" s="6" t="s">
        <v>17</v>
      </c>
      <c r="F20" s="6" t="s">
        <v>18</v>
      </c>
      <c r="G20" s="6" t="s">
        <v>17</v>
      </c>
      <c r="H20" s="6" t="s">
        <v>17</v>
      </c>
      <c r="I20" s="6" t="s">
        <v>18</v>
      </c>
      <c r="J20" s="7" t="n">
        <f aca="false">SUMPRODUCT(--ISNUMBER(SEARCH("A",B20:I20)))</f>
        <v>1</v>
      </c>
      <c r="K20" s="7" t="n">
        <f aca="false">SUMPRODUCT(--ISNUMBER(SEARCH("R",B20:I20)))</f>
        <v>1</v>
      </c>
      <c r="L20" s="6" t="str">
        <f aca="false">IF(AND(J20=1,K20&gt;=1),"OK","CHECK")</f>
        <v>OK</v>
      </c>
    </row>
    <row r="21" customFormat="false" ht="16.5" hidden="false" customHeight="true" outlineLevel="0" collapsed="false">
      <c r="A21" s="5" t="s">
        <v>35</v>
      </c>
      <c r="B21" s="6" t="s">
        <v>18</v>
      </c>
      <c r="C21" s="6" t="s">
        <v>17</v>
      </c>
      <c r="D21" s="6" t="s">
        <v>18</v>
      </c>
      <c r="E21" s="6" t="s">
        <v>17</v>
      </c>
      <c r="F21" s="6" t="s">
        <v>16</v>
      </c>
      <c r="G21" s="6" t="s">
        <v>17</v>
      </c>
      <c r="H21" s="6" t="s">
        <v>17</v>
      </c>
      <c r="I21" s="6" t="s">
        <v>18</v>
      </c>
      <c r="J21" s="7" t="n">
        <f aca="false">SUMPRODUCT(--ISNUMBER(SEARCH("A",B21:I21)))</f>
        <v>1</v>
      </c>
      <c r="K21" s="7" t="n">
        <f aca="false">SUMPRODUCT(--ISNUMBER(SEARCH("R",B21:I21)))</f>
        <v>1</v>
      </c>
      <c r="L21" s="6" t="str">
        <f aca="false">IF(AND(J21=1,K21&gt;=1),"OK","CHECK")</f>
        <v>OK</v>
      </c>
    </row>
    <row r="22" customFormat="false" ht="16.5" hidden="false" customHeight="true" outlineLevel="0" collapsed="false">
      <c r="A22" s="5" t="s">
        <v>36</v>
      </c>
      <c r="B22" s="6" t="s">
        <v>18</v>
      </c>
      <c r="C22" s="6" t="s">
        <v>18</v>
      </c>
      <c r="D22" s="6" t="s">
        <v>21</v>
      </c>
      <c r="E22" s="6" t="s">
        <v>16</v>
      </c>
      <c r="F22" s="6" t="s">
        <v>21</v>
      </c>
      <c r="G22" s="6" t="s">
        <v>18</v>
      </c>
      <c r="H22" s="6" t="s">
        <v>17</v>
      </c>
      <c r="I22" s="6" t="s">
        <v>17</v>
      </c>
      <c r="J22" s="7" t="n">
        <f aca="false">SUMPRODUCT(--ISNUMBER(SEARCH("A",B22:I22)))</f>
        <v>1</v>
      </c>
      <c r="K22" s="7" t="n">
        <f aca="false">SUMPRODUCT(--ISNUMBER(SEARCH("R",B22:I22)))</f>
        <v>3</v>
      </c>
      <c r="L22" s="6" t="str">
        <f aca="false">IF(AND(J22=1,K22&gt;=1),"OK","CHECK")</f>
        <v>OK</v>
      </c>
    </row>
    <row r="23" customFormat="false" ht="16.5" hidden="false" customHeight="true" outlineLevel="0" collapsed="false">
      <c r="A23" s="5" t="s">
        <v>37</v>
      </c>
      <c r="B23" s="6" t="s">
        <v>18</v>
      </c>
      <c r="C23" s="6" t="s">
        <v>17</v>
      </c>
      <c r="D23" s="6" t="s">
        <v>21</v>
      </c>
      <c r="E23" s="6" t="s">
        <v>17</v>
      </c>
      <c r="F23" s="6" t="s">
        <v>17</v>
      </c>
      <c r="G23" s="6" t="s">
        <v>18</v>
      </c>
      <c r="H23" s="6" t="s">
        <v>16</v>
      </c>
      <c r="I23" s="6" t="s">
        <v>18</v>
      </c>
      <c r="J23" s="7" t="n">
        <f aca="false">SUMPRODUCT(--ISNUMBER(SEARCH("A",B23:I23)))</f>
        <v>1</v>
      </c>
      <c r="K23" s="7" t="n">
        <f aca="false">SUMPRODUCT(--ISNUMBER(SEARCH("R",B23:I23)))</f>
        <v>2</v>
      </c>
      <c r="L23" s="6" t="str">
        <f aca="false">IF(AND(J23=1,K23&gt;=1),"OK","CHECK")</f>
        <v>OK</v>
      </c>
    </row>
    <row r="24" customFormat="false" ht="16.5" hidden="false" customHeight="true" outlineLevel="0" collapsed="false">
      <c r="A24" s="5" t="s">
        <v>38</v>
      </c>
      <c r="B24" s="6" t="s">
        <v>18</v>
      </c>
      <c r="C24" s="6" t="s">
        <v>18</v>
      </c>
      <c r="D24" s="6" t="s">
        <v>17</v>
      </c>
      <c r="E24" s="6" t="s">
        <v>21</v>
      </c>
      <c r="F24" s="6" t="s">
        <v>17</v>
      </c>
      <c r="G24" s="6" t="s">
        <v>18</v>
      </c>
      <c r="H24" s="6" t="s">
        <v>20</v>
      </c>
      <c r="I24" s="6" t="s">
        <v>21</v>
      </c>
      <c r="J24" s="7" t="n">
        <f aca="false">SUMPRODUCT(--ISNUMBER(SEARCH("A",B24:I24)))</f>
        <v>1</v>
      </c>
      <c r="K24" s="7" t="n">
        <f aca="false">SUMPRODUCT(--ISNUMBER(SEARCH("R",B24:I24)))</f>
        <v>2</v>
      </c>
      <c r="L24" s="6" t="str">
        <f aca="false">IF(AND(J24=1,K24&gt;=1),"OK","CHECK")</f>
        <v>OK</v>
      </c>
    </row>
    <row r="25" customFormat="false" ht="16.5" hidden="false" customHeight="true" outlineLevel="0" collapsed="false">
      <c r="A25" s="5" t="s">
        <v>39</v>
      </c>
      <c r="B25" s="6" t="s">
        <v>18</v>
      </c>
      <c r="C25" s="6" t="s">
        <v>18</v>
      </c>
      <c r="D25" s="6" t="s">
        <v>17</v>
      </c>
      <c r="E25" s="6" t="s">
        <v>17</v>
      </c>
      <c r="F25" s="6" t="s">
        <v>18</v>
      </c>
      <c r="G25" s="6" t="s">
        <v>18</v>
      </c>
      <c r="H25" s="6" t="s">
        <v>16</v>
      </c>
      <c r="I25" s="6" t="s">
        <v>21</v>
      </c>
      <c r="J25" s="7" t="n">
        <f aca="false">SUMPRODUCT(--ISNUMBER(SEARCH("A",B25:I25)))</f>
        <v>1</v>
      </c>
      <c r="K25" s="7" t="n">
        <f aca="false">SUMPRODUCT(--ISNUMBER(SEARCH("R",B25:I25)))</f>
        <v>2</v>
      </c>
      <c r="L25" s="6" t="str">
        <f aca="false">IF(AND(J25=1,K25&gt;=1),"OK","CHECK")</f>
        <v>OK</v>
      </c>
    </row>
    <row r="26" customFormat="false" ht="16.5" hidden="false" customHeight="true" outlineLevel="0" collapsed="false">
      <c r="A26" s="5" t="s">
        <v>40</v>
      </c>
      <c r="B26" s="6" t="s">
        <v>20</v>
      </c>
      <c r="C26" s="6" t="s">
        <v>21</v>
      </c>
      <c r="D26" s="6" t="s">
        <v>17</v>
      </c>
      <c r="E26" s="6" t="s">
        <v>17</v>
      </c>
      <c r="F26" s="6" t="s">
        <v>17</v>
      </c>
      <c r="G26" s="6" t="s">
        <v>18</v>
      </c>
      <c r="H26" s="6" t="s">
        <v>21</v>
      </c>
      <c r="I26" s="6" t="s">
        <v>18</v>
      </c>
      <c r="J26" s="7" t="n">
        <f aca="false">SUMPRODUCT(--ISNUMBER(SEARCH("A",B26:I26)))</f>
        <v>1</v>
      </c>
      <c r="K26" s="7" t="n">
        <f aca="false">SUMPRODUCT(--ISNUMBER(SEARCH("R",B26:I26)))</f>
        <v>2</v>
      </c>
      <c r="L26" s="6" t="str">
        <f aca="false">IF(AND(J26=1,K26&gt;=1),"OK","CHECK")</f>
        <v>OK</v>
      </c>
    </row>
    <row r="27" customFormat="false" ht="16.5" hidden="false" customHeight="true" outlineLevel="0" collapsed="false">
      <c r="A27" s="5" t="s">
        <v>41</v>
      </c>
      <c r="B27" s="6" t="s">
        <v>18</v>
      </c>
      <c r="C27" s="6" t="s">
        <v>18</v>
      </c>
      <c r="D27" s="6" t="s">
        <v>17</v>
      </c>
      <c r="E27" s="6" t="s">
        <v>17</v>
      </c>
      <c r="F27" s="6" t="s">
        <v>17</v>
      </c>
      <c r="G27" s="6" t="s">
        <v>18</v>
      </c>
      <c r="H27" s="6" t="s">
        <v>17</v>
      </c>
      <c r="I27" s="6" t="s">
        <v>16</v>
      </c>
      <c r="J27" s="7" t="n">
        <f aca="false">SUMPRODUCT(--ISNUMBER(SEARCH("A",B27:I27)))</f>
        <v>1</v>
      </c>
      <c r="K27" s="7" t="n">
        <f aca="false">SUMPRODUCT(--ISNUMBER(SEARCH("R",B27:I27)))</f>
        <v>1</v>
      </c>
      <c r="L27" s="6" t="str">
        <f aca="false">IF(AND(J27=1,K27&gt;=1),"OK","CHECK")</f>
        <v>OK</v>
      </c>
    </row>
    <row r="28" customFormat="false" ht="16.5" hidden="false" customHeight="true" outlineLevel="0" collapsed="false">
      <c r="A28" s="5" t="s">
        <v>42</v>
      </c>
      <c r="B28" s="6" t="s">
        <v>20</v>
      </c>
      <c r="C28" s="6" t="s">
        <v>21</v>
      </c>
      <c r="D28" s="6" t="s">
        <v>17</v>
      </c>
      <c r="E28" s="6" t="s">
        <v>17</v>
      </c>
      <c r="F28" s="6" t="s">
        <v>17</v>
      </c>
      <c r="G28" s="6" t="s">
        <v>18</v>
      </c>
      <c r="H28" s="6" t="s">
        <v>21</v>
      </c>
      <c r="I28" s="6" t="s">
        <v>21</v>
      </c>
      <c r="J28" s="7" t="n">
        <f aca="false">SUMPRODUCT(--ISNUMBER(SEARCH("A",B28:I28)))</f>
        <v>1</v>
      </c>
      <c r="K28" s="7" t="n">
        <f aca="false">SUMPRODUCT(--ISNUMBER(SEARCH("R",B28:I28)))</f>
        <v>3</v>
      </c>
      <c r="L28" s="6" t="str">
        <f aca="false">IF(AND(J28=1,K28&gt;=1),"OK","CHECK")</f>
        <v>OK</v>
      </c>
    </row>
    <row r="29" customFormat="false" ht="16.5" hidden="false" customHeight="true" outlineLevel="0" collapsed="false">
      <c r="A29" s="5" t="s">
        <v>43</v>
      </c>
      <c r="B29" s="6" t="s">
        <v>17</v>
      </c>
      <c r="C29" s="6" t="s">
        <v>16</v>
      </c>
      <c r="D29" s="6" t="s">
        <v>17</v>
      </c>
      <c r="E29" s="6" t="s">
        <v>21</v>
      </c>
      <c r="F29" s="6" t="s">
        <v>17</v>
      </c>
      <c r="G29" s="6" t="s">
        <v>17</v>
      </c>
      <c r="H29" s="6" t="s">
        <v>21</v>
      </c>
      <c r="I29" s="6" t="s">
        <v>17</v>
      </c>
      <c r="J29" s="7" t="n">
        <f aca="false">SUMPRODUCT(--ISNUMBER(SEARCH("A",B29:I29)))</f>
        <v>1</v>
      </c>
      <c r="K29" s="7" t="n">
        <f aca="false">SUMPRODUCT(--ISNUMBER(SEARCH("R",B29:I29)))</f>
        <v>3</v>
      </c>
      <c r="L29" s="6" t="str">
        <f aca="false">IF(AND(J29=1,K29&gt;=1),"OK","CHECK")</f>
        <v>OK</v>
      </c>
    </row>
    <row r="30" customFormat="false" ht="16.5" hidden="false" customHeight="true" outlineLevel="0" collapsed="false">
      <c r="A30" s="5" t="s">
        <v>44</v>
      </c>
      <c r="B30" s="6" t="s">
        <v>16</v>
      </c>
      <c r="C30" s="6" t="s">
        <v>21</v>
      </c>
      <c r="D30" s="6" t="s">
        <v>17</v>
      </c>
      <c r="E30" s="6" t="s">
        <v>17</v>
      </c>
      <c r="F30" s="6" t="s">
        <v>17</v>
      </c>
      <c r="G30" s="6" t="s">
        <v>17</v>
      </c>
      <c r="H30" s="6" t="s">
        <v>17</v>
      </c>
      <c r="I30" s="6" t="s">
        <v>17</v>
      </c>
      <c r="J30" s="7" t="n">
        <f aca="false">SUMPRODUCT(--ISNUMBER(SEARCH("A",B30:I30)))</f>
        <v>1</v>
      </c>
      <c r="K30" s="7" t="n">
        <f aca="false">SUMPRODUCT(--ISNUMBER(SEARCH("R",B30:I30)))</f>
        <v>2</v>
      </c>
      <c r="L30" s="6" t="str">
        <f aca="false">IF(AND(J30=1,K30&gt;=1),"OK","CHECK")</f>
        <v>OK</v>
      </c>
    </row>
    <row r="32" customFormat="false" ht="15" hidden="false" customHeight="false" outlineLevel="0" collapsed="false">
      <c r="A32" s="8" t="s">
        <v>45</v>
      </c>
      <c r="B32" s="9" t="str">
        <f aca="false">COUNTIF(L6:L30,"OK")&amp;" of "&amp;COUNTA(A6:A30)</f>
        <v>25 of 25</v>
      </c>
    </row>
  </sheetData>
  <autoFilter ref="A5:L30"/>
  <mergeCells count="2">
    <mergeCell ref="A2:L2"/>
    <mergeCell ref="A3:L3"/>
  </mergeCells>
  <conditionalFormatting sqref="B6:I30">
    <cfRule type="expression" priority="2" aboveAverage="0" equalAverage="0" bottom="0" percent="0" rank="0" text="" dxfId="13">
      <formula>B6="A"</formula>
    </cfRule>
    <cfRule type="expression" priority="3" aboveAverage="0" equalAverage="0" bottom="0" percent="0" rank="0" text="" dxfId="14">
      <formula>B6="R"</formula>
    </cfRule>
    <cfRule type="expression" priority="4" aboveAverage="0" equalAverage="0" bottom="0" percent="0" rank="0" text="" dxfId="15">
      <formula>B6="C"</formula>
    </cfRule>
    <cfRule type="expression" priority="5" aboveAverage="0" equalAverage="0" bottom="0" percent="0" rank="0" text="" dxfId="16">
      <formula>B6="I"</formula>
    </cfRule>
    <cfRule type="expression" priority="6" aboveAverage="0" equalAverage="0" bottom="0" percent="0" rank="0" text="" dxfId="13">
      <formula>B6="A/R"</formula>
    </cfRule>
  </conditionalFormatting>
  <conditionalFormatting sqref="L6:L30">
    <cfRule type="expression" priority="7" aboveAverage="0" equalAverage="0" bottom="0" percent="0" rank="0" text="" dxfId="17">
      <formula>L6="OK"</formula>
    </cfRule>
    <cfRule type="expression" priority="8" aboveAverage="0" equalAverage="0" bottom="0" percent="0" rank="0" text="" dxfId="18">
      <formula>L6="CHECK"</formula>
    </cfRule>
  </conditionalFormatting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Simulated self-directed portfolio project -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2"/>
    <col collapsed="false" customWidth="true" hidden="false" outlineLevel="0" max="5" min="5" style="0" width="44"/>
    <col collapsed="false" customWidth="true" hidden="false" outlineLevel="0" max="6" min="6" style="0" width="56"/>
  </cols>
  <sheetData>
    <row r="1" customFormat="false" ht="24" hidden="false" customHeight="true" outlineLevel="0" collapsed="false">
      <c r="A1" s="1" t="s">
        <v>46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47</v>
      </c>
      <c r="B3" s="3"/>
      <c r="C3" s="3"/>
      <c r="D3" s="3"/>
      <c r="E3" s="3"/>
      <c r="F3" s="3"/>
    </row>
    <row r="5" customFormat="false" ht="33.75" hidden="false" customHeight="true" outlineLevel="0" collapsed="false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</row>
    <row r="6" customFormat="false" ht="54" hidden="false" customHeight="true" outlineLevel="0" collapsed="false">
      <c r="A6" s="5" t="s">
        <v>4</v>
      </c>
      <c r="B6" s="10" t="n">
        <v>1</v>
      </c>
      <c r="C6" s="11" t="n">
        <f aca="false">B6*10</f>
        <v>10</v>
      </c>
      <c r="D6" s="12" t="s">
        <v>54</v>
      </c>
      <c r="E6" s="12" t="s">
        <v>55</v>
      </c>
      <c r="F6" s="12" t="s">
        <v>56</v>
      </c>
    </row>
    <row r="7" customFormat="false" ht="41.25" hidden="false" customHeight="true" outlineLevel="0" collapsed="false">
      <c r="A7" s="13" t="s">
        <v>5</v>
      </c>
      <c r="B7" s="14" t="n">
        <v>0.5</v>
      </c>
      <c r="C7" s="15" t="n">
        <f aca="false">B7*10</f>
        <v>5</v>
      </c>
      <c r="D7" s="16" t="s">
        <v>57</v>
      </c>
      <c r="E7" s="16" t="s">
        <v>58</v>
      </c>
      <c r="F7" s="16" t="s">
        <v>59</v>
      </c>
    </row>
    <row r="8" customFormat="false" ht="41.25" hidden="false" customHeight="true" outlineLevel="0" collapsed="false">
      <c r="A8" s="5" t="s">
        <v>6</v>
      </c>
      <c r="B8" s="10" t="n">
        <v>1</v>
      </c>
      <c r="C8" s="11" t="n">
        <f aca="false">B8*10</f>
        <v>10</v>
      </c>
      <c r="D8" s="12" t="s">
        <v>60</v>
      </c>
      <c r="E8" s="12" t="s">
        <v>61</v>
      </c>
      <c r="F8" s="12" t="s">
        <v>62</v>
      </c>
    </row>
    <row r="9" customFormat="false" ht="41.25" hidden="false" customHeight="true" outlineLevel="0" collapsed="false">
      <c r="A9" s="13" t="s">
        <v>7</v>
      </c>
      <c r="B9" s="14" t="n">
        <v>1</v>
      </c>
      <c r="C9" s="15" t="n">
        <f aca="false">B9*10</f>
        <v>10</v>
      </c>
      <c r="D9" s="16" t="s">
        <v>63</v>
      </c>
      <c r="E9" s="16" t="s">
        <v>64</v>
      </c>
      <c r="F9" s="16" t="s">
        <v>65</v>
      </c>
    </row>
    <row r="10" customFormat="false" ht="28.5" hidden="false" customHeight="true" outlineLevel="0" collapsed="false">
      <c r="A10" s="5" t="s">
        <v>8</v>
      </c>
      <c r="B10" s="10" t="n">
        <v>1</v>
      </c>
      <c r="C10" s="11" t="n">
        <f aca="false">B10*10</f>
        <v>10</v>
      </c>
      <c r="D10" s="12" t="s">
        <v>66</v>
      </c>
      <c r="E10" s="12" t="s">
        <v>67</v>
      </c>
      <c r="F10" s="12" t="s">
        <v>68</v>
      </c>
    </row>
    <row r="11" customFormat="false" ht="28.5" hidden="false" customHeight="true" outlineLevel="0" collapsed="false">
      <c r="A11" s="13" t="s">
        <v>9</v>
      </c>
      <c r="B11" s="14" t="n">
        <v>0.4</v>
      </c>
      <c r="C11" s="15" t="n">
        <f aca="false">B11*10</f>
        <v>4</v>
      </c>
      <c r="D11" s="16" t="s">
        <v>69</v>
      </c>
      <c r="E11" s="16" t="s">
        <v>70</v>
      </c>
      <c r="F11" s="16" t="s">
        <v>71</v>
      </c>
    </row>
    <row r="12" customFormat="false" ht="41.25" hidden="false" customHeight="true" outlineLevel="0" collapsed="false">
      <c r="A12" s="5" t="s">
        <v>10</v>
      </c>
      <c r="B12" s="10" t="n">
        <v>0.8</v>
      </c>
      <c r="C12" s="11" t="n">
        <f aca="false">B12*10</f>
        <v>8</v>
      </c>
      <c r="D12" s="12" t="s">
        <v>72</v>
      </c>
      <c r="E12" s="12" t="s">
        <v>73</v>
      </c>
      <c r="F12" s="12" t="s">
        <v>74</v>
      </c>
    </row>
    <row r="13" customFormat="false" ht="28.5" hidden="false" customHeight="true" outlineLevel="0" collapsed="false">
      <c r="A13" s="13" t="s">
        <v>11</v>
      </c>
      <c r="B13" s="14" t="n">
        <v>0.4</v>
      </c>
      <c r="C13" s="15" t="n">
        <f aca="false">B13*10</f>
        <v>4</v>
      </c>
      <c r="D13" s="16" t="s">
        <v>75</v>
      </c>
      <c r="E13" s="16" t="s">
        <v>76</v>
      </c>
      <c r="F13" s="16" t="s">
        <v>77</v>
      </c>
    </row>
    <row r="14" customFormat="false" ht="15" hidden="false" customHeight="false" outlineLevel="0" collapsed="false">
      <c r="A14" s="17" t="s">
        <v>78</v>
      </c>
      <c r="B14" s="18" t="n">
        <f aca="false">SUM(B6:B13)</f>
        <v>6.1</v>
      </c>
      <c r="C14" s="18" t="n">
        <f aca="false">SUM(C6:C13)</f>
        <v>61</v>
      </c>
      <c r="D14" s="17"/>
      <c r="E14" s="17"/>
      <c r="F14" s="17"/>
    </row>
  </sheetData>
  <autoFilter ref="A5:F13"/>
  <mergeCells count="2">
    <mergeCell ref="A2:F2"/>
    <mergeCell ref="A3:F3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Simulated self-directed portfolio project -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2026-10-17T05:38:20Z</dcterms:created>
  <dc:creator>openpyxl</dc:creator>
  <dc:description/>
  <dc:language>en-US</dc:language>
  <cp:lastModifiedBy/>
  <dcterms:modified xsi:type="dcterms:W3CDTF">2026-10-17T05:38:20Z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