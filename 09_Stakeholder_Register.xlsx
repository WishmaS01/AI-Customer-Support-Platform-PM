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keholder Register" sheetId="1" state="visible" r:id="rId3"/>
    <sheet name="Power-Interest Grid" sheetId="2" state="visible" r:id="rId4"/>
  </sheets>
  <definedNames>
    <definedName function="false" hidden="false" localSheetId="0" name="_xlnm.Print_Titles" vbProcedure="false">'Stakeholder Register'!$5:$5</definedName>
    <definedName function="false" hidden="true" localSheetId="0" name="_xlnm._FilterDatabase" vbProcedure="false">'Stakeholder Register'!$A$5:$K$20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<sst xmlns="http://schemas.openxmlformats.org/spreadsheetml/2006/main" count="151" uniqueCount="124">
  <si>
    <t xml:space="preserve">Stakeholder Register - AI Customer Support Platform</t>
  </si>
  <si>
    <t xml:space="preserve">SIMULATED PROJECT - Self-directed portfolio case study. Not professional experience, not client work, not employment. All people, figures and outcomes are fictional.</t>
  </si>
  <si>
    <t xml:space="preserve">All names are fictional. Interest and influence are scored 1 (low) to 5 (high) by the PM at project start; the strategy column is a formula: Influence &gt;= 4 and Interest &gt;= 4 = Manage closely; Influence &gt;= 4 = Keep satisfied; Interest &gt;= 4 = Keep informed; otherwise Monitor.</t>
  </si>
  <si>
    <t xml:space="preserve">ID</t>
  </si>
  <si>
    <t xml:space="preserve">Stakeholder</t>
  </si>
  <si>
    <t xml:space="preserve">Type</t>
  </si>
  <si>
    <t xml:space="preserve">Role in project</t>
  </si>
  <si>
    <t xml:space="preserve">Decision maker?</t>
  </si>
  <si>
    <t xml:space="preserve">Interest (1-5)</t>
  </si>
  <si>
    <t xml:space="preserve">Influence (1-5)</t>
  </si>
  <si>
    <t xml:space="preserve">Strategy (Power / Interest)</t>
  </si>
  <si>
    <t xml:space="preserve">Expectations</t>
  </si>
  <si>
    <t xml:space="preserve">Engagement approach</t>
  </si>
  <si>
    <t xml:space="preserve">Communication needs</t>
  </si>
  <si>
    <t xml:space="preserve">S-01</t>
  </si>
  <si>
    <t xml:space="preserve">Marcus Hale - VP Customer Experience</t>
  </si>
  <si>
    <t xml:space="preserve">Internal</t>
  </si>
  <si>
    <t xml:space="preserve">Executive Sponsor; funds the project and decides Go/No-Go</t>
  </si>
  <si>
    <t xml:space="preserve">Yes</t>
  </si>
  <si>
    <t xml:space="preserve">Fewer routine tickets, faster responses, no brand-damaging AI errors, delivery within budget.</t>
  </si>
  <si>
    <t xml:space="preserve">Steering review at every sprint review; decisions brought with a recommendation and options; early warning on red items.</t>
  </si>
  <si>
    <t xml:space="preserve">Fortnightly one-page summary; ad-hoc decision memos; Go/No-Go meeting.</t>
  </si>
  <si>
    <t xml:space="preserve">S-02</t>
  </si>
  <si>
    <t xml:space="preserve">Elena Rossi - Product Manager (Product Owner)</t>
  </si>
  <si>
    <t xml:space="preserve">Owns backlog, priorities and acceptance of stories</t>
  </si>
  <si>
    <t xml:space="preserve">A prioritised, value-driven backlog; clear trade-offs; predictable sprint outcomes.</t>
  </si>
  <si>
    <t xml:space="preserve">Daily contact; joint backlog refinement; sprint planning and review; agrees any scope trade-off before it reaches the Sponsor.</t>
  </si>
  <si>
    <t xml:space="preserve">Daily stand-up; refinement; sprint review; decision log.</t>
  </si>
  <si>
    <t xml:space="preserve">S-03</t>
  </si>
  <si>
    <t xml:space="preserve">Sofia Lindqvist - Support Manager</t>
  </si>
  <si>
    <t xml:space="preserve">Business owner of support operations; UAT lead and approver</t>
  </si>
  <si>
    <t xml:space="preserve">Agents relieved of routine work, smooth escalations, trustworthy answers, visibility through analytics.</t>
  </si>
  <si>
    <t xml:space="preserve">Workshops in discovery; sprint review demos; weekly check on AI conversation samples during pilot; owns UAT sign-off.</t>
  </si>
  <si>
    <t xml:space="preserve">Sprint review; weekly 30-minute sync; UAT briefings.</t>
  </si>
  <si>
    <t xml:space="preserve">S-04</t>
  </si>
  <si>
    <t xml:space="preserve">Raj Patel - CTO / Head of Engineering</t>
  </si>
  <si>
    <t xml:space="preserve">Approves architecture, security stance and engineering capacity</t>
  </si>
  <si>
    <t xml:space="preserve">Maintainable, secure design that fits company standards; no uncontrolled technical debt.</t>
  </si>
  <si>
    <t xml:space="preserve">Architecture review at end of Sprint 1; short technical risk update each sprint; escalation path for resourcing.</t>
  </si>
  <si>
    <t xml:space="preserve">Sprint review (optional); architecture review; monthly risk summary.</t>
  </si>
  <si>
    <t xml:space="preserve">S-05</t>
  </si>
  <si>
    <t xml:space="preserve">Hannah Weber - Security &amp; Privacy Officer</t>
  </si>
  <si>
    <t xml:space="preserve">Reviews privacy and security controls; go-live gatekeeper</t>
  </si>
  <si>
    <t xml:space="preserve">Documented controls, provider terms confirmed, no Critical/High vulnerabilities, auditable data handling.</t>
  </si>
  <si>
    <t xml:space="preserve">Early review of data flow and provider terms (Sprint 1-2); test results review in Sprint 4-5; attends Go/No-Go.</t>
  </si>
  <si>
    <t xml:space="preserve">Review meetings at milestones M2, M5, M7; written approvals.</t>
  </si>
  <si>
    <t xml:space="preserve">S-06</t>
  </si>
  <si>
    <t xml:space="preserve">Daniel Moreau - Customer Success Lead</t>
  </si>
  <si>
    <t xml:space="preserve">Consumer of analytics; represents merchant voice; raised CR-001</t>
  </si>
  <si>
    <t xml:space="preserve">No</t>
  </si>
  <si>
    <t xml:space="preserve">Insight into merchant questions and content gaps; ability to request improvements.</t>
  </si>
  <si>
    <t xml:space="preserve">Sprint review invitations; early look at dashboard; structured intake of change requests through Product Owner.</t>
  </si>
  <si>
    <t xml:space="preserve">Sprint review; dashboard preview in Sprint 4.</t>
  </si>
  <si>
    <t xml:space="preserve">S-07</t>
  </si>
  <si>
    <t xml:space="preserve">Aiden Park - Knowledge &amp; Content Lead (KB Admin)</t>
  </si>
  <si>
    <t xml:space="preserve">Admin end user; owns KB content quality</t>
  </si>
  <si>
    <t xml:space="preserve">Simple editing and import tools; clear ownership of content; feedback on gaps.</t>
  </si>
  <si>
    <t xml:space="preserve">Co-design admin screens; leads content audit with Product Manager; trained in Sprint 5.</t>
  </si>
  <si>
    <t xml:space="preserve">Weekly content sync during Sprints 1-3; training session.</t>
  </si>
  <si>
    <t xml:space="preserve">S-08</t>
  </si>
  <si>
    <t xml:space="preserve">Jamal Brooks and the 14 support agents</t>
  </si>
  <si>
    <t xml:space="preserve">Agent end users; usability testers and UAT participants</t>
  </si>
  <si>
    <t xml:space="preserve">Fewer repetitive tickets; full context on escalations; a tool that does not slow them down.</t>
  </si>
  <si>
    <t xml:space="preserve">Usability sessions in Sprint 2; demo in Sprint 4; named UAT group; training in Sprint 5; feedback channel.</t>
  </si>
  <si>
    <t xml:space="preserve">Usability sessions; UAT briefing; training; hypercare channel.</t>
  </si>
  <si>
    <t xml:space="preserve">S-09</t>
  </si>
  <si>
    <t xml:space="preserve">Finance Partner</t>
  </si>
  <si>
    <t xml:space="preserve">Oversees non-labour budget</t>
  </si>
  <si>
    <t xml:space="preserve">Spend within the 5,500 USD plan; early warning on overrun.</t>
  </si>
  <si>
    <t xml:space="preserve">Monthly spend update; alert if LLM spend passes 70%.</t>
  </si>
  <si>
    <t xml:space="preserve">Monthly budget line in status report.</t>
  </si>
  <si>
    <t xml:space="preserve">S-10</t>
  </si>
  <si>
    <t xml:space="preserve">Legal &amp; Compliance Counsel</t>
  </si>
  <si>
    <t xml:space="preserve">Reviews provider terms and AI disclosure wording</t>
  </si>
  <si>
    <t xml:space="preserve">Contract terms that protect customer data; clear AI disclosure to customers.</t>
  </si>
  <si>
    <t xml:space="preserve">Provider terms review request in Sprint 1; wording review for AI label in Sprint 3.</t>
  </si>
  <si>
    <t xml:space="preserve">Written review requests with deadlines; milestone notice.</t>
  </si>
  <si>
    <t xml:space="preserve">S-11</t>
  </si>
  <si>
    <t xml:space="preserve">Project delivery team (AI/ML, Backend, Frontend, UX, QA, DevOps)</t>
  </si>
  <si>
    <t xml:space="preserve">Designs, builds and tests the platform</t>
  </si>
  <si>
    <t xml:space="preserve">Clear priorities, stable sprint scope, fast decisions, protected focus time.</t>
  </si>
  <si>
    <t xml:space="preserve">Sprint ceremonies; PM removes blockers; open retrospectives.</t>
  </si>
  <si>
    <t xml:space="preserve">Daily stand-up; planning, review, retrospective; shared board.</t>
  </si>
  <si>
    <t xml:space="preserve">S-12</t>
  </si>
  <si>
    <t xml:space="preserve">Merchant customers (pilot cohort)</t>
  </si>
  <si>
    <t xml:space="preserve">External</t>
  </si>
  <si>
    <t xml:space="preserve">End users of the chat assistant</t>
  </si>
  <si>
    <t xml:space="preserve">Fast, correct answers; easy route to a human; privacy respected.</t>
  </si>
  <si>
    <t xml:space="preserve">Represented by Support and Customer Success; AI disclosure and feedback buttons in product; pilot feedback review.</t>
  </si>
  <si>
    <t xml:space="preserve">In-product notices; pilot feedback summary.</t>
  </si>
  <si>
    <t xml:space="preserve">S-13</t>
  </si>
  <si>
    <t xml:space="preserve">LLM / embedding API provider</t>
  </si>
  <si>
    <t xml:space="preserve">Third-party supplier of AI models</t>
  </si>
  <si>
    <t xml:space="preserve">Compliant use of the API; payment.</t>
  </si>
  <si>
    <t xml:space="preserve">Single technical contact; track terms, quotas and model deprecation notices.</t>
  </si>
  <si>
    <t xml:space="preserve">Vendor portal; account contact.</t>
  </si>
  <si>
    <t xml:space="preserve">S-14</t>
  </si>
  <si>
    <t xml:space="preserve">Transactional email provider</t>
  </si>
  <si>
    <t xml:space="preserve">Supplier of OTP and notification emails</t>
  </si>
  <si>
    <t xml:space="preserve">Verified sending domain; normal usage volumes.</t>
  </si>
  <si>
    <t xml:space="preserve">Domain verification in Sprint 3; delivery monitoring.</t>
  </si>
  <si>
    <t xml:space="preserve">Vendor portal.</t>
  </si>
  <si>
    <t xml:space="preserve">S-15</t>
  </si>
  <si>
    <t xml:space="preserve">Data-protection regulators (indirect)</t>
  </si>
  <si>
    <t xml:space="preserve">Set the rules the privacy controls must respect</t>
  </si>
  <si>
    <t xml:space="preserve">Compliance with data-protection principles.</t>
  </si>
  <si>
    <t xml:space="preserve">Engaged indirectly through the Security &amp; Privacy Officer.</t>
  </si>
  <si>
    <t xml:space="preserve">None directly.</t>
  </si>
  <si>
    <t xml:space="preserve">Power / Interest Grid</t>
  </si>
  <si>
    <t xml:space="preserve">Stakeholder IDs placed by the same rule as the register (static text generated from the register scores; refresh if scores change). Counts are live formulas.</t>
  </si>
  <si>
    <t xml:space="preserve">LOW INTEREST (1-3)</t>
  </si>
  <si>
    <t xml:space="preserve">HIGH INTEREST (4-5)</t>
  </si>
  <si>
    <t xml:space="preserve">HIGH INFLUENCE (4-5)</t>
  </si>
  <si>
    <t xml:space="preserve">KEEP SATISFIED
S-04  Raj Patel
S-05  Hannah Weber
S-10  Legal &amp; Compliance Counsel
S-15  Data-protection regulators (indirect)</t>
  </si>
  <si>
    <t xml:space="preserve">MANAGE CLOSELY
S-01  Marcus Hale
S-02  Elena Rossi
S-03  Sofia Lindqvist
S-11  Project delivery team (AI/ML, Backend, Frontend, UX, QA, DevOps)</t>
  </si>
  <si>
    <t xml:space="preserve">LOW INFLUENCE (1-3)</t>
  </si>
  <si>
    <t xml:space="preserve">MONITOR
S-09  Finance Partner
S-12  Merchant customers (pilot cohort)
S-13  LLM / embedding API provider
S-14  Transactional email provider</t>
  </si>
  <si>
    <t xml:space="preserve">KEEP INFORMED
S-06  Daniel Moreau
S-07  Aiden Park
S-08  Jamal Brooks and the 14 support agents</t>
  </si>
  <si>
    <t xml:space="preserve">Strategy</t>
  </si>
  <si>
    <t xml:space="preserve">Stakeholders (count)</t>
  </si>
  <si>
    <t xml:space="preserve">Manage closely</t>
  </si>
  <si>
    <t xml:space="preserve">Keep satisfied</t>
  </si>
  <si>
    <t xml:space="preserve">Keep informed</t>
  </si>
  <si>
    <t xml:space="preserve">Monitor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</si>
</sst>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b val="true"/>
      <sz val="9"/>
      <color rgb="FF9C0006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F5F8FC"/>
        <bgColor rgb="FFFFFFFF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5F8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ont>
        <name val="Arial"/>
        <charset val="1"/>
        <family val="0"/>
        <b val="1"/>
      </font>
      <fill>
        <patternFill>
          <bgColor rgb="FFF8CBAD"/>
        </patternFill>
      </fill>
    </dxf>
    <dxf>
      <font>
        <name val="Arial"/>
        <charset val="1"/>
        <family val="0"/>
        <b val="1"/>
      </font>
      <fill>
        <patternFill>
          <bgColor rgb="FFFFE699"/>
        </patternFill>
      </fill>
    </dxf>
    <dxf>
      <font>
        <name val="Arial"/>
        <charset val="1"/>
        <family val="0"/>
        <b val="1"/>
      </font>
      <fill>
        <patternFill>
          <bgColor rgb="FFC6E0B4"/>
        </patternFill>
      </fill>
    </dxf>
    <dxf>
      <font>
        <name val="Arial"/>
        <charset val="1"/>
        <family val="0"/>
        <b val="1"/>
      </font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5F8F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E699"/>
      <rgbColor rgb="FFC6E0B4"/>
      <rgbColor rgb="FFFCE4D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34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16"/>
    <col collapsed="false" customWidth="true" hidden="false" outlineLevel="0" max="9" min="9" style="0" width="42"/>
    <col collapsed="false" customWidth="true" hidden="false" outlineLevel="0" max="10" min="10" style="0" width="48"/>
    <col collapsed="false" customWidth="true" hidden="false" outlineLevel="0" max="11" min="11" style="0" width="34"/>
  </cols>
  <sheetData>
    <row r="1" customFormat="false" ht="24" hidden="false" customHeight="true" outlineLevel="0" collapsed="false">
      <c r="A1" s="1" t="s">
        <v>0</v>
      </c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7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customFormat="false" ht="41.25" hidden="false" customHeight="true" outlineLevel="0" collapsed="false">
      <c r="A6" s="5" t="s">
        <v>14</v>
      </c>
      <c r="B6" s="6" t="s">
        <v>15</v>
      </c>
      <c r="C6" s="7" t="s">
        <v>16</v>
      </c>
      <c r="D6" s="8" t="s">
        <v>17</v>
      </c>
      <c r="E6" s="7" t="s">
        <v>18</v>
      </c>
      <c r="F6" s="9" t="n">
        <v>4</v>
      </c>
      <c r="G6" s="9" t="n">
        <v>5</v>
      </c>
      <c r="H6" s="7" t="str">
        <f aca="false">IF(AND(G6&gt;=4,F6&gt;=4),"Manage closely",IF(G6&gt;=4,"Keep satisfied",IF(F6&gt;=4,"Keep informed","Monitor")))</f>
        <v>Manage closely</v>
      </c>
      <c r="I6" s="8" t="s">
        <v>19</v>
      </c>
      <c r="J6" s="8" t="s">
        <v>20</v>
      </c>
      <c r="K6" s="8" t="s">
        <v>21</v>
      </c>
    </row>
    <row r="7" customFormat="false" ht="41.25" hidden="false" customHeight="true" outlineLevel="0" collapsed="false">
      <c r="A7" s="10" t="s">
        <v>22</v>
      </c>
      <c r="B7" s="11" t="s">
        <v>23</v>
      </c>
      <c r="C7" s="12" t="s">
        <v>16</v>
      </c>
      <c r="D7" s="13" t="s">
        <v>24</v>
      </c>
      <c r="E7" s="12" t="s">
        <v>18</v>
      </c>
      <c r="F7" s="14" t="n">
        <v>5</v>
      </c>
      <c r="G7" s="14" t="n">
        <v>4</v>
      </c>
      <c r="H7" s="12" t="str">
        <f aca="false">IF(AND(G7&gt;=4,F7&gt;=4),"Manage closely",IF(G7&gt;=4,"Keep satisfied",IF(F7&gt;=4,"Keep informed","Monitor")))</f>
        <v>Manage closely</v>
      </c>
      <c r="I7" s="13" t="s">
        <v>25</v>
      </c>
      <c r="J7" s="13" t="s">
        <v>26</v>
      </c>
      <c r="K7" s="13" t="s">
        <v>27</v>
      </c>
    </row>
    <row r="8" customFormat="false" ht="41.25" hidden="false" customHeight="true" outlineLevel="0" collapsed="false">
      <c r="A8" s="5" t="s">
        <v>28</v>
      </c>
      <c r="B8" s="6" t="s">
        <v>29</v>
      </c>
      <c r="C8" s="7" t="s">
        <v>16</v>
      </c>
      <c r="D8" s="8" t="s">
        <v>30</v>
      </c>
      <c r="E8" s="7" t="s">
        <v>18</v>
      </c>
      <c r="F8" s="9" t="n">
        <v>5</v>
      </c>
      <c r="G8" s="9" t="n">
        <v>4</v>
      </c>
      <c r="H8" s="7" t="str">
        <f aca="false">IF(AND(G8&gt;=4,F8&gt;=4),"Manage closely",IF(G8&gt;=4,"Keep satisfied",IF(F8&gt;=4,"Keep informed","Monitor")))</f>
        <v>Manage closely</v>
      </c>
      <c r="I8" s="8" t="s">
        <v>31</v>
      </c>
      <c r="J8" s="8" t="s">
        <v>32</v>
      </c>
      <c r="K8" s="8" t="s">
        <v>33</v>
      </c>
    </row>
    <row r="9" customFormat="false" ht="41.25" hidden="false" customHeight="true" outlineLevel="0" collapsed="false">
      <c r="A9" s="10" t="s">
        <v>34</v>
      </c>
      <c r="B9" s="11" t="s">
        <v>35</v>
      </c>
      <c r="C9" s="12" t="s">
        <v>16</v>
      </c>
      <c r="D9" s="13" t="s">
        <v>36</v>
      </c>
      <c r="E9" s="12" t="s">
        <v>18</v>
      </c>
      <c r="F9" s="14" t="n">
        <v>3</v>
      </c>
      <c r="G9" s="14" t="n">
        <v>5</v>
      </c>
      <c r="H9" s="12" t="str">
        <f aca="false">IF(AND(G9&gt;=4,F9&gt;=4),"Manage closely",IF(G9&gt;=4,"Keep satisfied",IF(F9&gt;=4,"Keep informed","Monitor")))</f>
        <v>Keep satisfied</v>
      </c>
      <c r="I9" s="13" t="s">
        <v>37</v>
      </c>
      <c r="J9" s="13" t="s">
        <v>38</v>
      </c>
      <c r="K9" s="13" t="s">
        <v>39</v>
      </c>
    </row>
    <row r="10" customFormat="false" ht="41.25" hidden="false" customHeight="true" outlineLevel="0" collapsed="false">
      <c r="A10" s="5" t="s">
        <v>40</v>
      </c>
      <c r="B10" s="6" t="s">
        <v>41</v>
      </c>
      <c r="C10" s="7" t="s">
        <v>16</v>
      </c>
      <c r="D10" s="8" t="s">
        <v>42</v>
      </c>
      <c r="E10" s="7" t="s">
        <v>18</v>
      </c>
      <c r="F10" s="9" t="n">
        <v>3</v>
      </c>
      <c r="G10" s="9" t="n">
        <v>4</v>
      </c>
      <c r="H10" s="7" t="str">
        <f aca="false">IF(AND(G10&gt;=4,F10&gt;=4),"Manage closely",IF(G10&gt;=4,"Keep satisfied",IF(F10&gt;=4,"Keep informed","Monitor")))</f>
        <v>Keep satisfied</v>
      </c>
      <c r="I10" s="8" t="s">
        <v>43</v>
      </c>
      <c r="J10" s="8" t="s">
        <v>44</v>
      </c>
      <c r="K10" s="8" t="s">
        <v>45</v>
      </c>
    </row>
    <row r="11" customFormat="false" ht="41.25" hidden="false" customHeight="true" outlineLevel="0" collapsed="false">
      <c r="A11" s="10" t="s">
        <v>46</v>
      </c>
      <c r="B11" s="11" t="s">
        <v>47</v>
      </c>
      <c r="C11" s="12" t="s">
        <v>16</v>
      </c>
      <c r="D11" s="13" t="s">
        <v>48</v>
      </c>
      <c r="E11" s="12" t="s">
        <v>49</v>
      </c>
      <c r="F11" s="14" t="n">
        <v>4</v>
      </c>
      <c r="G11" s="14" t="n">
        <v>3</v>
      </c>
      <c r="H11" s="12" t="str">
        <f aca="false">IF(AND(G11&gt;=4,F11&gt;=4),"Manage closely",IF(G11&gt;=4,"Keep satisfied",IF(F11&gt;=4,"Keep informed","Monitor")))</f>
        <v>Keep informed</v>
      </c>
      <c r="I11" s="13" t="s">
        <v>50</v>
      </c>
      <c r="J11" s="13" t="s">
        <v>51</v>
      </c>
      <c r="K11" s="13" t="s">
        <v>52</v>
      </c>
    </row>
    <row r="12" customFormat="false" ht="28.5" hidden="false" customHeight="true" outlineLevel="0" collapsed="false">
      <c r="A12" s="5" t="s">
        <v>53</v>
      </c>
      <c r="B12" s="6" t="s">
        <v>54</v>
      </c>
      <c r="C12" s="7" t="s">
        <v>16</v>
      </c>
      <c r="D12" s="8" t="s">
        <v>55</v>
      </c>
      <c r="E12" s="7" t="s">
        <v>49</v>
      </c>
      <c r="F12" s="9" t="n">
        <v>5</v>
      </c>
      <c r="G12" s="9" t="n">
        <v>3</v>
      </c>
      <c r="H12" s="7" t="str">
        <f aca="false">IF(AND(G12&gt;=4,F12&gt;=4),"Manage closely",IF(G12&gt;=4,"Keep satisfied",IF(F12&gt;=4,"Keep informed","Monitor")))</f>
        <v>Keep informed</v>
      </c>
      <c r="I12" s="8" t="s">
        <v>56</v>
      </c>
      <c r="J12" s="8" t="s">
        <v>57</v>
      </c>
      <c r="K12" s="8" t="s">
        <v>58</v>
      </c>
    </row>
    <row r="13" customFormat="false" ht="28.5" hidden="false" customHeight="true" outlineLevel="0" collapsed="false">
      <c r="A13" s="10" t="s">
        <v>59</v>
      </c>
      <c r="B13" s="11" t="s">
        <v>60</v>
      </c>
      <c r="C13" s="12" t="s">
        <v>16</v>
      </c>
      <c r="D13" s="13" t="s">
        <v>61</v>
      </c>
      <c r="E13" s="12" t="s">
        <v>49</v>
      </c>
      <c r="F13" s="14" t="n">
        <v>5</v>
      </c>
      <c r="G13" s="14" t="n">
        <v>3</v>
      </c>
      <c r="H13" s="12" t="str">
        <f aca="false">IF(AND(G13&gt;=4,F13&gt;=4),"Manage closely",IF(G13&gt;=4,"Keep satisfied",IF(F13&gt;=4,"Keep informed","Monitor")))</f>
        <v>Keep informed</v>
      </c>
      <c r="I13" s="13" t="s">
        <v>62</v>
      </c>
      <c r="J13" s="13" t="s">
        <v>63</v>
      </c>
      <c r="K13" s="13" t="s">
        <v>64</v>
      </c>
    </row>
    <row r="14" customFormat="false" ht="28.5" hidden="false" customHeight="true" outlineLevel="0" collapsed="false">
      <c r="A14" s="5" t="s">
        <v>65</v>
      </c>
      <c r="B14" s="6" t="s">
        <v>66</v>
      </c>
      <c r="C14" s="7" t="s">
        <v>16</v>
      </c>
      <c r="D14" s="8" t="s">
        <v>67</v>
      </c>
      <c r="E14" s="7" t="s">
        <v>49</v>
      </c>
      <c r="F14" s="9" t="n">
        <v>2</v>
      </c>
      <c r="G14" s="9" t="n">
        <v>3</v>
      </c>
      <c r="H14" s="7" t="str">
        <f aca="false">IF(AND(G14&gt;=4,F14&gt;=4),"Manage closely",IF(G14&gt;=4,"Keep satisfied",IF(F14&gt;=4,"Keep informed","Monitor")))</f>
        <v>Monitor</v>
      </c>
      <c r="I14" s="8" t="s">
        <v>68</v>
      </c>
      <c r="J14" s="8" t="s">
        <v>69</v>
      </c>
      <c r="K14" s="8" t="s">
        <v>70</v>
      </c>
    </row>
    <row r="15" customFormat="false" ht="28.5" hidden="false" customHeight="true" outlineLevel="0" collapsed="false">
      <c r="A15" s="10" t="s">
        <v>71</v>
      </c>
      <c r="B15" s="11" t="s">
        <v>72</v>
      </c>
      <c r="C15" s="12" t="s">
        <v>16</v>
      </c>
      <c r="D15" s="13" t="s">
        <v>73</v>
      </c>
      <c r="E15" s="12" t="s">
        <v>18</v>
      </c>
      <c r="F15" s="14" t="n">
        <v>2</v>
      </c>
      <c r="G15" s="14" t="n">
        <v>4</v>
      </c>
      <c r="H15" s="12" t="str">
        <f aca="false">IF(AND(G15&gt;=4,F15&gt;=4),"Manage closely",IF(G15&gt;=4,"Keep satisfied",IF(F15&gt;=4,"Keep informed","Monitor")))</f>
        <v>Keep satisfied</v>
      </c>
      <c r="I15" s="13" t="s">
        <v>74</v>
      </c>
      <c r="J15" s="13" t="s">
        <v>75</v>
      </c>
      <c r="K15" s="13" t="s">
        <v>76</v>
      </c>
    </row>
    <row r="16" customFormat="false" ht="28.5" hidden="false" customHeight="true" outlineLevel="0" collapsed="false">
      <c r="A16" s="5" t="s">
        <v>77</v>
      </c>
      <c r="B16" s="6" t="s">
        <v>78</v>
      </c>
      <c r="C16" s="7" t="s">
        <v>16</v>
      </c>
      <c r="D16" s="8" t="s">
        <v>79</v>
      </c>
      <c r="E16" s="7" t="s">
        <v>49</v>
      </c>
      <c r="F16" s="9" t="n">
        <v>5</v>
      </c>
      <c r="G16" s="9" t="n">
        <v>4</v>
      </c>
      <c r="H16" s="7" t="str">
        <f aca="false">IF(AND(G16&gt;=4,F16&gt;=4),"Manage closely",IF(G16&gt;=4,"Keep satisfied",IF(F16&gt;=4,"Keep informed","Monitor")))</f>
        <v>Manage closely</v>
      </c>
      <c r="I16" s="8" t="s">
        <v>80</v>
      </c>
      <c r="J16" s="8" t="s">
        <v>81</v>
      </c>
      <c r="K16" s="8" t="s">
        <v>82</v>
      </c>
    </row>
    <row r="17" customFormat="false" ht="41.25" hidden="false" customHeight="true" outlineLevel="0" collapsed="false">
      <c r="A17" s="10" t="s">
        <v>83</v>
      </c>
      <c r="B17" s="11" t="s">
        <v>84</v>
      </c>
      <c r="C17" s="12" t="s">
        <v>85</v>
      </c>
      <c r="D17" s="13" t="s">
        <v>86</v>
      </c>
      <c r="E17" s="12" t="s">
        <v>49</v>
      </c>
      <c r="F17" s="14" t="n">
        <v>3</v>
      </c>
      <c r="G17" s="14" t="n">
        <v>2</v>
      </c>
      <c r="H17" s="12" t="str">
        <f aca="false">IF(AND(G17&gt;=4,F17&gt;=4),"Manage closely",IF(G17&gt;=4,"Keep satisfied",IF(F17&gt;=4,"Keep informed","Monitor")))</f>
        <v>Monitor</v>
      </c>
      <c r="I17" s="13" t="s">
        <v>87</v>
      </c>
      <c r="J17" s="13" t="s">
        <v>88</v>
      </c>
      <c r="K17" s="13" t="s">
        <v>89</v>
      </c>
    </row>
    <row r="18" customFormat="false" ht="28.5" hidden="false" customHeight="true" outlineLevel="0" collapsed="false">
      <c r="A18" s="5" t="s">
        <v>90</v>
      </c>
      <c r="B18" s="6" t="s">
        <v>91</v>
      </c>
      <c r="C18" s="7" t="s">
        <v>85</v>
      </c>
      <c r="D18" s="8" t="s">
        <v>92</v>
      </c>
      <c r="E18" s="7" t="s">
        <v>49</v>
      </c>
      <c r="F18" s="9" t="n">
        <v>2</v>
      </c>
      <c r="G18" s="9" t="n">
        <v>3</v>
      </c>
      <c r="H18" s="7" t="str">
        <f aca="false">IF(AND(G18&gt;=4,F18&gt;=4),"Manage closely",IF(G18&gt;=4,"Keep satisfied",IF(F18&gt;=4,"Keep informed","Monitor")))</f>
        <v>Monitor</v>
      </c>
      <c r="I18" s="8" t="s">
        <v>93</v>
      </c>
      <c r="J18" s="8" t="s">
        <v>94</v>
      </c>
      <c r="K18" s="8" t="s">
        <v>95</v>
      </c>
    </row>
    <row r="19" customFormat="false" ht="28.5" hidden="false" customHeight="true" outlineLevel="0" collapsed="false">
      <c r="A19" s="10" t="s">
        <v>96</v>
      </c>
      <c r="B19" s="11" t="s">
        <v>97</v>
      </c>
      <c r="C19" s="12" t="s">
        <v>85</v>
      </c>
      <c r="D19" s="13" t="s">
        <v>98</v>
      </c>
      <c r="E19" s="12" t="s">
        <v>49</v>
      </c>
      <c r="F19" s="14" t="n">
        <v>1</v>
      </c>
      <c r="G19" s="14" t="n">
        <v>2</v>
      </c>
      <c r="H19" s="12" t="str">
        <f aca="false">IF(AND(G19&gt;=4,F19&gt;=4),"Manage closely",IF(G19&gt;=4,"Keep satisfied",IF(F19&gt;=4,"Keep informed","Monitor")))</f>
        <v>Monitor</v>
      </c>
      <c r="I19" s="13" t="s">
        <v>99</v>
      </c>
      <c r="J19" s="13" t="s">
        <v>100</v>
      </c>
      <c r="K19" s="13" t="s">
        <v>101</v>
      </c>
    </row>
    <row r="20" customFormat="false" ht="28.5" hidden="false" customHeight="true" outlineLevel="0" collapsed="false">
      <c r="A20" s="5" t="s">
        <v>102</v>
      </c>
      <c r="B20" s="6" t="s">
        <v>103</v>
      </c>
      <c r="C20" s="7" t="s">
        <v>85</v>
      </c>
      <c r="D20" s="8" t="s">
        <v>104</v>
      </c>
      <c r="E20" s="7" t="s">
        <v>49</v>
      </c>
      <c r="F20" s="9" t="n">
        <v>1</v>
      </c>
      <c r="G20" s="9" t="n">
        <v>4</v>
      </c>
      <c r="H20" s="7" t="str">
        <f aca="false">IF(AND(G20&gt;=4,F20&gt;=4),"Manage closely",IF(G20&gt;=4,"Keep satisfied",IF(F20&gt;=4,"Keep informed","Monitor")))</f>
        <v>Keep satisfied</v>
      </c>
      <c r="I20" s="8" t="s">
        <v>105</v>
      </c>
      <c r="J20" s="8" t="s">
        <v>106</v>
      </c>
      <c r="K20" s="8" t="s">
        <v>107</v>
      </c>
    </row>
  </sheetData>
  <autoFilter ref="A5:K20"/>
  <mergeCells count="2">
    <mergeCell ref="A2:K2"/>
    <mergeCell ref="A3:K3"/>
  </mergeCells>
  <conditionalFormatting sqref="H6:H20">
    <cfRule type="expression" priority="2" aboveAverage="0" equalAverage="0" bottom="0" percent="0" rank="0" text="" dxfId="10">
      <formula>H6="Manage closely"</formula>
    </cfRule>
    <cfRule type="expression" priority="3" aboveAverage="0" equalAverage="0" bottom="0" percent="0" rank="0" text="" dxfId="11">
      <formula>H6="Keep satisfied"</formula>
    </cfRule>
    <cfRule type="expression" priority="4" aboveAverage="0" equalAverage="0" bottom="0" percent="0" rank="0" text="" dxfId="12">
      <formula>H6="Keep informed"</formula>
    </cfRule>
    <cfRule type="expression" priority="5" aboveAverage="0" equalAverage="0" bottom="0" percent="0" rank="0" text="" dxfId="13">
      <formula>H6="Monitor"</formula>
    </cfRule>
  </conditionalFormatting>
  <dataValidations count="1">
    <dataValidation allowBlank="true" error="Choose a value from the list" errorStyle="stop" operator="between" showDropDown="false" showErrorMessage="false" showInputMessage="false" sqref="F6:G20" type="list">
      <formula1>"1,2,3,4,5"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Simulated self-directed portfolio project - 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52"/>
  </cols>
  <sheetData>
    <row r="1" customFormat="false" ht="24" hidden="false" customHeight="true" outlineLevel="0" collapsed="false">
      <c r="A1" s="1" t="s">
        <v>108</v>
      </c>
    </row>
    <row r="2" customFormat="false" ht="25.5" hidden="false" customHeight="true" outlineLevel="0" collapsed="false">
      <c r="A2" s="2" t="s">
        <v>1</v>
      </c>
      <c r="B2" s="2"/>
      <c r="C2" s="2"/>
    </row>
    <row r="3" customFormat="false" ht="27.75" hidden="false" customHeight="true" outlineLevel="0" collapsed="false">
      <c r="A3" s="3" t="s">
        <v>109</v>
      </c>
      <c r="B3" s="3"/>
      <c r="C3" s="3"/>
    </row>
    <row r="6" customFormat="false" ht="15" hidden="false" customHeight="false" outlineLevel="0" collapsed="false">
      <c r="B6" s="15" t="s">
        <v>110</v>
      </c>
      <c r="C6" s="15" t="s">
        <v>111</v>
      </c>
    </row>
    <row r="7" customFormat="false" ht="189.75" hidden="false" customHeight="true" outlineLevel="0" collapsed="false">
      <c r="A7" s="16" t="s">
        <v>112</v>
      </c>
      <c r="B7" s="17" t="s">
        <v>113</v>
      </c>
      <c r="C7" s="18" t="s">
        <v>114</v>
      </c>
    </row>
    <row r="8" customFormat="false" ht="150" hidden="false" customHeight="true" outlineLevel="0" collapsed="false">
      <c r="A8" s="16" t="s">
        <v>115</v>
      </c>
      <c r="B8" s="19" t="s">
        <v>116</v>
      </c>
      <c r="C8" s="20" t="s">
        <v>117</v>
      </c>
    </row>
    <row r="10" customFormat="false" ht="15" hidden="false" customHeight="false" outlineLevel="0" collapsed="false">
      <c r="A10" s="21" t="s">
        <v>118</v>
      </c>
      <c r="B10" s="21" t="s">
        <v>119</v>
      </c>
    </row>
    <row r="11" customFormat="false" ht="15" hidden="false" customHeight="false" outlineLevel="0" collapsed="false">
      <c r="A11" s="22" t="s">
        <v>120</v>
      </c>
      <c r="B11" s="23" t="n">
        <f aca="false">COUNTIF('Stakeholder Register'!$H$6:$H$20,A11)</f>
        <v>4</v>
      </c>
    </row>
    <row r="12" customFormat="false" ht="15" hidden="false" customHeight="false" outlineLevel="0" collapsed="false">
      <c r="A12" s="22" t="s">
        <v>121</v>
      </c>
      <c r="B12" s="23" t="n">
        <f aca="false">COUNTIF('Stakeholder Register'!$H$6:$H$20,A12)</f>
        <v>4</v>
      </c>
    </row>
    <row r="13" customFormat="false" ht="15" hidden="false" customHeight="false" outlineLevel="0" collapsed="false">
      <c r="A13" s="22" t="s">
        <v>122</v>
      </c>
      <c r="B13" s="23" t="n">
        <f aca="false">COUNTIF('Stakeholder Register'!$H$6:$H$20,A13)</f>
        <v>3</v>
      </c>
    </row>
    <row r="14" customFormat="false" ht="15" hidden="false" customHeight="false" outlineLevel="0" collapsed="false">
      <c r="A14" s="22" t="s">
        <v>123</v>
      </c>
      <c r="B14" s="23" t="n">
        <f aca="false">COUNTIF('Stakeholder Register'!$H$6:$H$20,A14)</f>
        <v>4</v>
      </c>
    </row>
  </sheetData>
  <mergeCells count="2">
    <mergeCell ref="A2:C2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2026-10-17T05:38:20Z</dcterms:created>
  <dc:creator>openpyxl</dc:creator>
  <dc:description/>
  <dc:language>en-US</dc:language>
  <cp:lastModifiedBy/>
  <dcterms:modified xsi:type="dcterms:W3CDTF">2026-10-17T05:38:20Z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