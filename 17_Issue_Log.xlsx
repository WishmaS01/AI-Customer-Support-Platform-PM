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sue Log" sheetId="1" state="visible" r:id="rId3"/>
  </sheets>
  <definedNames>
    <definedName function="false" hidden="false" localSheetId="0" name="_xlnm.Print_Titles" vbProcedure="false">'Issue Log'!$5:$5</definedName>
    <definedName function="false" hidden="true" localSheetId="0" name="_xlnm._FilterDatabase" vbProcedure="false">'Issue Log'!$A$5:$K$10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<sst xmlns="http://schemas.openxmlformats.org/spreadsheetml/2006/main" count="60" uniqueCount="48">
  <si>
    <t xml:space="preserve">Issue Log - AI Customer Support Platform</t>
  </si>
  <si>
    <t xml:space="preserve">SIMULATED PROJECT - Self-directed portfolio case study. Not professional experience, not client work, not employment. All people, figures and outcomes are fictional.</t>
  </si>
  <si>
    <t xml:space="preserve">Simulated log as at 30 Jan 2026 (end of Sprint 2); consistent with 13_Project_Status_Report. An issue is something that has already happened; risks that might happen are in 11_Risk_Register.</t>
  </si>
  <si>
    <t xml:space="preserve">Issue ID</t>
  </si>
  <si>
    <t xml:space="preserve">Issue</t>
  </si>
  <si>
    <t xml:space="preserve">Raised</t>
  </si>
  <si>
    <t xml:space="preserve">Raised by</t>
  </si>
  <si>
    <t xml:space="preserve">Category</t>
  </si>
  <si>
    <t xml:space="preserve">Severity</t>
  </si>
  <si>
    <t xml:space="preserve">Owner</t>
  </si>
  <si>
    <t xml:space="preserve">Action / resolution</t>
  </si>
  <si>
    <t xml:space="preserve">Due</t>
  </si>
  <si>
    <t xml:space="preserve">Status</t>
  </si>
  <si>
    <t xml:space="preserve">Linked risk</t>
  </si>
  <si>
    <t xml:space="preserve">I-01</t>
  </si>
  <si>
    <t xml:space="preserve">RBAC story (US-05) not finished in Sprint 1: permission-matrix questions took two extra days to settle.</t>
  </si>
  <si>
    <t xml:space="preserve">Backend Developer</t>
  </si>
  <si>
    <t xml:space="preserve">Requirements clarity</t>
  </si>
  <si>
    <t xml:space="preserve">Medium</t>
  </si>
  <si>
    <t xml:space="preserve">Permission matrix agreed with Product Manager and Security &amp; Privacy Officer; story completed in Sprint 2.</t>
  </si>
  <si>
    <t xml:space="preserve">Resolved</t>
  </si>
  <si>
    <t xml:space="preserve">R09</t>
  </si>
  <si>
    <t xml:space="preserve">I-02</t>
  </si>
  <si>
    <t xml:space="preserve">17 of the 52 outdated KB articles are still not updated after the audit (Support SMEs short of time).</t>
  </si>
  <si>
    <t xml:space="preserve">Product Manager</t>
  </si>
  <si>
    <t xml:space="preserve">Content</t>
  </si>
  <si>
    <t xml:space="preserve">High</t>
  </si>
  <si>
    <t xml:space="preserve">Articles kept unpublished; Support Manager agreed 2 extra SME hours per day until 6 Feb; list tracked in the board.</t>
  </si>
  <si>
    <t xml:space="preserve">Open</t>
  </si>
  <si>
    <t xml:space="preserve">R03</t>
  </si>
  <si>
    <t xml:space="preserve">I-03</t>
  </si>
  <si>
    <t xml:space="preserve">Golden set: 72 of 100 questions have validated reference answers; US-15 carried into Sprint 3.</t>
  </si>
  <si>
    <t xml:space="preserve">QA Engineer</t>
  </si>
  <si>
    <t xml:space="preserve">Quality</t>
  </si>
  <si>
    <t xml:space="preserve">Remaining 28 reference answers booked with Support SMEs; evaluation run #1 starts 9 Feb regardless, using validated items.</t>
  </si>
  <si>
    <t xml:space="preserve">R01</t>
  </si>
  <si>
    <t xml:space="preserve">I-04</t>
  </si>
  <si>
    <t xml:space="preserve">Flaky integration test blocked the CI pipeline on 14 Jan.</t>
  </si>
  <si>
    <t xml:space="preserve">DevOps Engineer</t>
  </si>
  <si>
    <t xml:space="preserve">Technical</t>
  </si>
  <si>
    <t xml:space="preserve">Low</t>
  </si>
  <si>
    <t xml:space="preserve">Test isolated and fixed; flaky-test quarantine rule added to the Definition of Done.</t>
  </si>
  <si>
    <t xml:space="preserve">R10</t>
  </si>
  <si>
    <t xml:space="preserve">I-05</t>
  </si>
  <si>
    <t xml:space="preserve">Staging environment answered the first request slowly (cold start) while preparing the Sprint 2 demo.</t>
  </si>
  <si>
    <t xml:space="preserve">Keep-warm setting applied and verified before the demo; load test will confirm in Sprint 5.</t>
  </si>
  <si>
    <t xml:space="preserve">R11</t>
  </si>
  <si>
    <t xml:space="preserve">Open issues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</si>
</sst>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9"/>
      <color rgb="FF9C0006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5F8FC"/>
      </patternFill>
    </fill>
    <fill>
      <patternFill patternType="solid">
        <fgColor rgb="FF1F3864"/>
        <bgColor rgb="FF333333"/>
      </patternFill>
    </fill>
    <fill>
      <patternFill patternType="solid">
        <fgColor rgb="FFF5F8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5F8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4B183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5F8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56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9"/>
  </cols>
  <sheetData>
    <row r="1" customFormat="false" ht="24" hidden="false" customHeight="true" outlineLevel="0" collapsed="false">
      <c r="A1" s="1" t="s">
        <v>0</v>
      </c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28.5" hidden="false" customHeight="true" outlineLevel="0" collapsed="false">
      <c r="A6" s="5" t="s">
        <v>14</v>
      </c>
      <c r="B6" s="6" t="s">
        <v>15</v>
      </c>
      <c r="C6" s="7" t="n">
        <v>46038</v>
      </c>
      <c r="D6" s="6" t="s">
        <v>16</v>
      </c>
      <c r="E6" s="6" t="s">
        <v>17</v>
      </c>
      <c r="F6" s="8" t="s">
        <v>18</v>
      </c>
      <c r="G6" s="6" t="s">
        <v>16</v>
      </c>
      <c r="H6" s="6" t="s">
        <v>19</v>
      </c>
      <c r="I6" s="7" t="n">
        <v>46042</v>
      </c>
      <c r="J6" s="8" t="s">
        <v>20</v>
      </c>
      <c r="K6" s="8" t="s">
        <v>21</v>
      </c>
    </row>
    <row r="7" customFormat="false" ht="28.5" hidden="false" customHeight="true" outlineLevel="0" collapsed="false">
      <c r="A7" s="9" t="s">
        <v>22</v>
      </c>
      <c r="B7" s="10" t="s">
        <v>23</v>
      </c>
      <c r="C7" s="11" t="n">
        <v>46050</v>
      </c>
      <c r="D7" s="10" t="s">
        <v>24</v>
      </c>
      <c r="E7" s="10" t="s">
        <v>25</v>
      </c>
      <c r="F7" s="12" t="s">
        <v>26</v>
      </c>
      <c r="G7" s="10" t="s">
        <v>24</v>
      </c>
      <c r="H7" s="10" t="s">
        <v>27</v>
      </c>
      <c r="I7" s="11" t="n">
        <v>46059</v>
      </c>
      <c r="J7" s="12" t="s">
        <v>28</v>
      </c>
      <c r="K7" s="12" t="s">
        <v>29</v>
      </c>
    </row>
    <row r="8" customFormat="false" ht="28.5" hidden="false" customHeight="true" outlineLevel="0" collapsed="false">
      <c r="A8" s="5" t="s">
        <v>30</v>
      </c>
      <c r="B8" s="6" t="s">
        <v>31</v>
      </c>
      <c r="C8" s="7" t="n">
        <v>46052</v>
      </c>
      <c r="D8" s="6" t="s">
        <v>32</v>
      </c>
      <c r="E8" s="6" t="s">
        <v>33</v>
      </c>
      <c r="F8" s="8" t="s">
        <v>18</v>
      </c>
      <c r="G8" s="6" t="s">
        <v>32</v>
      </c>
      <c r="H8" s="6" t="s">
        <v>34</v>
      </c>
      <c r="I8" s="7" t="n">
        <v>46057</v>
      </c>
      <c r="J8" s="8" t="s">
        <v>28</v>
      </c>
      <c r="K8" s="8" t="s">
        <v>35</v>
      </c>
    </row>
    <row r="9" customFormat="false" ht="28.5" hidden="false" customHeight="true" outlineLevel="0" collapsed="false">
      <c r="A9" s="9" t="s">
        <v>36</v>
      </c>
      <c r="B9" s="10" t="s">
        <v>37</v>
      </c>
      <c r="C9" s="11" t="n">
        <v>46036</v>
      </c>
      <c r="D9" s="10" t="s">
        <v>38</v>
      </c>
      <c r="E9" s="10" t="s">
        <v>39</v>
      </c>
      <c r="F9" s="12" t="s">
        <v>40</v>
      </c>
      <c r="G9" s="10" t="s">
        <v>38</v>
      </c>
      <c r="H9" s="10" t="s">
        <v>41</v>
      </c>
      <c r="I9" s="11" t="n">
        <v>46037</v>
      </c>
      <c r="J9" s="12" t="s">
        <v>20</v>
      </c>
      <c r="K9" s="12" t="s">
        <v>42</v>
      </c>
    </row>
    <row r="10" customFormat="false" ht="28.5" hidden="false" customHeight="true" outlineLevel="0" collapsed="false">
      <c r="A10" s="5" t="s">
        <v>43</v>
      </c>
      <c r="B10" s="6" t="s">
        <v>44</v>
      </c>
      <c r="C10" s="7" t="n">
        <v>46051</v>
      </c>
      <c r="D10" s="6" t="s">
        <v>32</v>
      </c>
      <c r="E10" s="6" t="s">
        <v>39</v>
      </c>
      <c r="F10" s="8" t="s">
        <v>40</v>
      </c>
      <c r="G10" s="6" t="s">
        <v>38</v>
      </c>
      <c r="H10" s="6" t="s">
        <v>45</v>
      </c>
      <c r="I10" s="7" t="n">
        <v>46051</v>
      </c>
      <c r="J10" s="8" t="s">
        <v>20</v>
      </c>
      <c r="K10" s="8" t="s">
        <v>46</v>
      </c>
    </row>
    <row r="12" customFormat="false" ht="15" hidden="false" customHeight="false" outlineLevel="0" collapsed="false">
      <c r="A12" s="13" t="s">
        <v>47</v>
      </c>
      <c r="B12" s="14" t="n">
        <f aca="false">COUNTIF(J6:J10,"Open")</f>
        <v>2</v>
      </c>
    </row>
  </sheetData>
  <autoFilter ref="A5:K10"/>
  <mergeCells count="2">
    <mergeCell ref="A2:K2"/>
    <mergeCell ref="A3:K3"/>
  </mergeCells>
  <conditionalFormatting sqref="F6:F10">
    <cfRule type="expression" priority="2" aboveAverage="0" equalAverage="0" bottom="0" percent="0" rank="0" text="" dxfId="8">
      <formula>F6="High"</formula>
    </cfRule>
    <cfRule type="expression" priority="3" aboveAverage="0" equalAverage="0" bottom="0" percent="0" rank="0" text="" dxfId="9">
      <formula>F6="Medium"</formula>
    </cfRule>
    <cfRule type="expression" priority="4" aboveAverage="0" equalAverage="0" bottom="0" percent="0" rank="0" text="" dxfId="10">
      <formula>F6="Low"</formula>
    </cfRule>
  </conditionalFormatting>
  <dataValidations count="1">
    <dataValidation allowBlank="true" error="Choose a value from the list" errorStyle="stop" operator="between" showDropDown="false" showErrorMessage="false" showInputMessage="false" sqref="J6:J10" type="list">
      <formula1>"Open,In progress,Resolved,Closed"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Simulated self-directed portfolio project -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2026-10-17T05:38:20Z</dcterms:created>
  <dc:creator>openpyxl</dc:creator>
  <dc:description/>
  <dc:language>en-US</dc:language>
  <cp:lastModifiedBy/>
  <dcterms:modified xsi:type="dcterms:W3CDTF">2026-10-17T05:38:20Z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