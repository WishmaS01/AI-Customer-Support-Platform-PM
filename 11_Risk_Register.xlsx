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Heat Map" sheetId="2" state="visible" r:id="rId4"/>
    <sheet name="Scoring Guide" sheetId="3" state="visible" r:id="rId5"/>
  </sheets>
  <definedNames>
    <definedName function="false" hidden="false" localSheetId="0" name="_xlnm.Print_Titles" vbProcedure="false">'Risk Register'!$5:$5</definedName>
    <definedName function="false" hidden="true" localSheetId="0" name="_xlnm._FilterDatabase" vbProcedure="false">'Risk Register'!$A$5:$O$22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<sst xmlns="http://schemas.openxmlformats.org/spreadsheetml/2006/main" count="192" uniqueCount="172">
  <si>
    <t xml:space="preserve">Risk Register - AI Customer Support Platform</t>
  </si>
  <si>
    <t xml:space="preserve">SIMULATED PROJECT - Self-directed portfolio case study. Not professional experience, not client work, not employment. All people, figures and outcomes are fictional.</t>
  </si>
  <si>
    <t xml:space="preserve">Score = Probability x Impact. Rating: 1-4 Low, 5-9 Medium, 10-14 High, 15-25 Critical. Residual = target score after mitigation. Status reflects the simulated end of Sprint 2 (30 Jan 2026) and matches 13_Project_Status_Report. Blue = scoring inputs.</t>
  </si>
  <si>
    <t xml:space="preserve">Risk ID</t>
  </si>
  <si>
    <t xml:space="preserve">Risk</t>
  </si>
  <si>
    <t xml:space="preserve">Category</t>
  </si>
  <si>
    <t xml:space="preserve">Probability (1-5)</t>
  </si>
  <si>
    <t xml:space="preserve">Impact (1-5)</t>
  </si>
  <si>
    <t xml:space="preserve">Score</t>
  </si>
  <si>
    <t xml:space="preserve">Rating</t>
  </si>
  <si>
    <t xml:space="preserve">Owner (role)</t>
  </si>
  <si>
    <t xml:space="preserve">Mitigation (preventive)</t>
  </si>
  <si>
    <t xml:space="preserve">Contingency (if it happens)</t>
  </si>
  <si>
    <t xml:space="preserve">Trigger / early warning</t>
  </si>
  <si>
    <t xml:space="preserve">Residual P</t>
  </si>
  <si>
    <t xml:space="preserve">Residual I</t>
  </si>
  <si>
    <t xml:space="preserve">Residual Score</t>
  </si>
  <si>
    <t xml:space="preserve">Status (as at 30 Jan 2026, simulated)</t>
  </si>
  <si>
    <t xml:space="preserve">R01</t>
  </si>
  <si>
    <t xml:space="preserve">AI hallucination: the assistant states something not supported by the knowledge base (for example a wrong billing rule).</t>
  </si>
  <si>
    <t xml:space="preserve">AI / Quality</t>
  </si>
  <si>
    <t xml:space="preserve">AI/ML Engineer</t>
  </si>
  <si>
    <t xml:space="preserve">Answer only from retrieved passages with citations (AIR-01); similarity threshold with 'I don't know' fallback (US-14); golden + adversarial set evaluated every sprint with a go-live gate of &gt;= 85% accuracy and &lt;= 5% unsupported answers; weekly human sample review during pilot.</t>
  </si>
  <si>
    <t xml:space="preserve">Raise the threshold so more questions escalate; switch to 'search results only' mode (no generated text) for affected categories; kill-switch disables AI answers and routes everything to agents.</t>
  </si>
  <si>
    <t xml:space="preserve">Unsupported-answer rate above 5% in any evaluation run, or any customer-reported wrong answer on billing, legal or security topics.</t>
  </si>
  <si>
    <t xml:space="preserve">Mitigating - guardrails built in Sprint 2; first formal evaluation run in Sprint 3</t>
  </si>
  <si>
    <t xml:space="preserve">R02</t>
  </si>
  <si>
    <t xml:space="preserve">Incorrect or irrelevant answers because retrieval picks the wrong passages (ambiguous questions, poor chunking).</t>
  </si>
  <si>
    <t xml:space="preserve">Chunking and ranking tuned in Sprint 2-3; evaluation reports list failing questions by cause; clarifying-question fallback; retrieval settings versioned (AIR-08).</t>
  </si>
  <si>
    <t xml:space="preserve">Restrict pilot to the 10 best-covered categories; add manual 'pinned' answers for top questions; increase escalation offers.</t>
  </si>
  <si>
    <t xml:space="preserve">Accuracy below 85% for two consecutive evaluation runs, or more than 15% of failures traced to retrieval.</t>
  </si>
  <si>
    <t xml:space="preserve">Mitigating - tuning planned in WBS 5.4</t>
  </si>
  <si>
    <t xml:space="preserve">R03</t>
  </si>
  <si>
    <t xml:space="preserve">Poor knowledge-base content: duplicate, outdated or conflicting articles produce wrong answers.</t>
  </si>
  <si>
    <t xml:space="preserve">Data / Content</t>
  </si>
  <si>
    <t xml:space="preserve">Product Manager</t>
  </si>
  <si>
    <t xml:space="preserve">Content audit and cleanup before indexing (WBS 6.3) with Support SMEs; named content owner per category; mandatory review date per article (FR-04); fallback topics report to find gaps.</t>
  </si>
  <si>
    <t xml:space="preserve">Publish only audited articles at pilot; unpublish disputed articles; extend cleanup into Sprint 3 with an extra SME day per week.</t>
  </si>
  <si>
    <t xml:space="preserve">More than 10% of audited articles flagged outdated or conflicting, or golden-set failures traced to content exceed 15%.</t>
  </si>
  <si>
    <t xml:space="preserve">Occurred (partly) - audit found 41 duplicates and 52 outdated articles; 17 still open (Issue I-02)</t>
  </si>
  <si>
    <t xml:space="preserve">R04</t>
  </si>
  <si>
    <t xml:space="preserve">Data privacy: personal data is sent to the LLM provider, retained too long, or cannot be deleted on request.</t>
  </si>
  <si>
    <t xml:space="preserve">Security / Privacy</t>
  </si>
  <si>
    <t xml:space="preserve">Backend Developer</t>
  </si>
  <si>
    <t xml:space="preserve">PII redaction before every LLM call (US-25); written provider terms with no training and minimal retention (AIR-06); 90-day retention and deletion tooling (US-26); data-minimising event design (US-23).</t>
  </si>
  <si>
    <t xml:space="preserve">Suspend LLM calls and run in search-only mode; invoke incident process with the Security &amp; Privacy Officer; notify affected customers if required by policy.</t>
  </si>
  <si>
    <t xml:space="preserve">Provider terms still unconfirmed by end of Sprint 2 (6 Feb); redaction test below 100% on the seeded set; any real personal data found in logs.</t>
  </si>
  <si>
    <t xml:space="preserve">Open - provider terms awaiting Legal confirmation (Dependency D-01)</t>
  </si>
  <si>
    <t xml:space="preserve">R05</t>
  </si>
  <si>
    <t xml:space="preserve">Security vulnerabilities: broken access control, injection or prompt injection exposing data or tampering with answers.</t>
  </si>
  <si>
    <t xml:space="preserve">RBAC (US-05); rate limiting and validation (US-07); at least 20 prompt-injection cases; dependency scan in CI; dedicated security testing in Week 8 (WBS 9.3); Security &amp; Privacy Officer review before Go/No-Go.</t>
  </si>
  <si>
    <t xml:space="preserve">Hold go-live until Critical/High findings are fixed; temporarily disable affected feature; targeted retest.</t>
  </si>
  <si>
    <t xml:space="preserve">Any Critical/High finding from scans or testing; failed access-control test.</t>
  </si>
  <si>
    <t xml:space="preserve">Open - hardening planned for Sprint 4</t>
  </si>
  <si>
    <t xml:space="preserve">R06</t>
  </si>
  <si>
    <t xml:space="preserve">LLM API dependency: provider outage, rate limits, latency spikes or model changes.</t>
  </si>
  <si>
    <t xml:space="preserve">External / Technical</t>
  </si>
  <si>
    <t xml:space="preserve">Provider abstraction layer (TR-04); pinned model version; timeouts, retries and graceful fallback message; secondary model validated in the Sprint 1 spike; rate-limit behaviour tested (US-27).</t>
  </si>
  <si>
    <t xml:space="preserve">Switch to the fallback model/provider; run in search-only mode with escalation.</t>
  </si>
  <si>
    <t xml:space="preserve">LLM error rate above 2% or p95 latency above 8 seconds for one hour.</t>
  </si>
  <si>
    <t xml:space="preserve">Monitoring - fallback model validated in spike</t>
  </si>
  <si>
    <t xml:space="preserve">R07</t>
  </si>
  <si>
    <t xml:space="preserve">LLM cost overrun beyond the 1,500 USD API budget.</t>
  </si>
  <si>
    <t xml:space="preserve">Financial</t>
  </si>
  <si>
    <t xml:space="preserve">Project Manager</t>
  </si>
  <si>
    <t xml:space="preserve">Per-conversation token cap (US-13); caching of repeated questions; cost metrics and alerts at 70% and 90% (US-29); weekly spend check at status review.</t>
  </si>
  <si>
    <t xml:space="preserve">Throttle usage, reduce retrieved passages, or use a smaller model; sponsor decides whether to extend budget.</t>
  </si>
  <si>
    <t xml:space="preserve">More than 70% of the LLM budget spent before Week 9, or projected pilot cost above budget.</t>
  </si>
  <si>
    <t xml:space="preserve">Monitoring - spend to 30 Jan well under plan</t>
  </si>
  <si>
    <t xml:space="preserve">R08</t>
  </si>
  <si>
    <t xml:space="preserve">Scope creep: new feature requests (languages, integrations, extra channels) after the baseline.</t>
  </si>
  <si>
    <t xml:space="preserve">Scope</t>
  </si>
  <si>
    <t xml:space="preserve">Baselined scope with explicit Won't-Have list; MoSCoW; change-control process with impact assessment; Product Owner owns the backlog; changes only at sprint boundaries.</t>
  </si>
  <si>
    <t xml:space="preserve">Apply the de-scope order (Scope doc, section 6) to make room; move requests to post-MVP backlog.</t>
  </si>
  <si>
    <t xml:space="preserve">More than 2 unplanned stories requested per sprint; any request to change Must-Have scope after M2.</t>
  </si>
  <si>
    <t xml:space="preserve">Mitigating - CR-001 (Spanish) assessed and deferred</t>
  </si>
  <si>
    <t xml:space="preserve">R09</t>
  </si>
  <si>
    <t xml:space="preserve">Development delays from under-estimation by a new team with no historical velocity.</t>
  </si>
  <si>
    <t xml:space="preserve">Schedule</t>
  </si>
  <si>
    <t xml:space="preserve">Conservative planning (Sprint 1 at 28 points); velocity tracked each sprint; weekly burn-up; early integration in Sprint 3; Sprint 5 contains Should-Have items that can be dropped.</t>
  </si>
  <si>
    <t xml:space="preserve">Apply the de-scope order; ask Sponsor for temporary extra capacity; re-plan Sprint 5 content.</t>
  </si>
  <si>
    <t xml:space="preserve">Sprint velocity below 85% of plan, or any milestone forecast to slip by more than 2 working days.</t>
  </si>
  <si>
    <t xml:space="preserve">Mitigating - Sprint 1 delivered 25 of 28 points; Sprint 2 delivered 34 of 36</t>
  </si>
  <si>
    <t xml:space="preserve">R10</t>
  </si>
  <si>
    <t xml:space="preserve">Integration issues between UI, API, RAG service, database and email provider; end-to-end escalation flow breaks.</t>
  </si>
  <si>
    <t xml:space="preserve">Technical</t>
  </si>
  <si>
    <t xml:space="preserve">Contract-first API (TR-05); staging from Week 1; integration tests in CI; dedicated integration work packages 8.1-8.3; weekly integrated demo from Sprint 3.</t>
  </si>
  <si>
    <t xml:space="preserve">Short integration swarm of Backend, Frontend and QA; simplify flow (email-based reply) if in-app reply fails.</t>
  </si>
  <si>
    <t xml:space="preserve">Integration tests red for more than 2 working days; 8.x task running late.</t>
  </si>
  <si>
    <t xml:space="preserve">Open - integration work starts Sprint 3</t>
  </si>
  <si>
    <t xml:space="preserve">R11</t>
  </si>
  <si>
    <t xml:space="preserve">Performance issues: slow answers or failures under concurrent load.</t>
  </si>
  <si>
    <t xml:space="preserve">DevOps Engineer</t>
  </si>
  <si>
    <t xml:space="preserve">Early smoke test in Sprint 4; caching; limit retrieved passages; load test of 50 sessions (US-27); scale resources.</t>
  </si>
  <si>
    <t xml:space="preserve">Scale up instances; reduce context size; stream partial answers.</t>
  </si>
  <si>
    <t xml:space="preserve">p95 above 8 seconds at 25 concurrent sessions during the Sprint 4 smoke test.</t>
  </si>
  <si>
    <t xml:space="preserve">Open</t>
  </si>
  <si>
    <t xml:space="preserve">R12</t>
  </si>
  <si>
    <t xml:space="preserve">Resource constraints and key-person dependency (single AI/ML Engineer; part-time UX, QA and DevOps).</t>
  </si>
  <si>
    <t xml:space="preserve">Resource</t>
  </si>
  <si>
    <t xml:space="preserve">Capacity plan by role; pair Backend and AI/ML on the RAG service; written handover notes; UX front-loaded to Weeks 1-4; backup named for each role.</t>
  </si>
  <si>
    <t xml:space="preserve">Request a backup from the engineering pool via the Sponsor; descope Should-Have items.</t>
  </si>
  <si>
    <t xml:space="preserve">Any key role unavailable for more than 3 working days, or planned capacity below 80%.</t>
  </si>
  <si>
    <t xml:space="preserve">Monitoring</t>
  </si>
  <si>
    <t xml:space="preserve">R13</t>
  </si>
  <si>
    <t xml:space="preserve">Delayed stakeholder decisions and limited availability of Support staff for usability tests and UAT.</t>
  </si>
  <si>
    <t xml:space="preserve">Stakeholder</t>
  </si>
  <si>
    <t xml:space="preserve">Decision log with a 2-business-day response expectation; UAT dates booked in Sprint 3; named UAT participants and backups; escalation to Sponsor.</t>
  </si>
  <si>
    <t xml:space="preserve">Escalate to the Sponsor; run shorter UAT sessions with fewer participants and extend into Go/No-Go day.</t>
  </si>
  <si>
    <t xml:space="preserve">A decision pending for more than 2 business days; UAT participants not confirmed by 13 Feb.</t>
  </si>
  <si>
    <t xml:space="preserve">Mitigating - UAT nominations requested (Decision D3)</t>
  </si>
  <si>
    <t xml:space="preserve">R14</t>
  </si>
  <si>
    <t xml:space="preserve">Agents resist or distrust the platform (fear of replacement, extra workload from poor escalations).</t>
  </si>
  <si>
    <t xml:space="preserve">Organisational</t>
  </si>
  <si>
    <t xml:space="preserve">Position the AI as handling routine questions so agents focus on complex work; involve agents in usability tests; full transcripts on escalation; training session; feedback channel.</t>
  </si>
  <si>
    <t xml:space="preserve">Extend hypercare; adjust escalation categories and routing rules based on agent feedback.</t>
  </si>
  <si>
    <t xml:space="preserve">Negative agent feedback in usability tests or UAT; agents bypass the queue.</t>
  </si>
  <si>
    <t xml:space="preserve">Monitoring - usability sessions positive</t>
  </si>
  <si>
    <t xml:space="preserve">R15</t>
  </si>
  <si>
    <t xml:space="preserve">Unrealistic accuracy expectations: stakeholders expect the AI to be right 100% of the time.</t>
  </si>
  <si>
    <t xml:space="preserve">Requirements</t>
  </si>
  <si>
    <t xml:space="preserve">Agree measurable targets (AIR-02, AIR-03); show evaluation results at every sprint review; make escalation a designed feature, not a failure.</t>
  </si>
  <si>
    <t xml:space="preserve">Re-baseline targets through change control; agree category-specific scope.</t>
  </si>
  <si>
    <t xml:space="preserve">Feedback at a review demanding zero-error behaviour or rejecting the fallback concept.</t>
  </si>
  <si>
    <t xml:space="preserve">Mitigating - targets shown at Sprint 2 review</t>
  </si>
  <si>
    <t xml:space="preserve">R16</t>
  </si>
  <si>
    <t xml:space="preserve">OTP emails not delivered or delayed, blocking customer sign-in.</t>
  </si>
  <si>
    <t xml:space="preserve">SPF/DKIM configured (TR-06); delivery monitoring; resend with rate limit; test sends in staging.</t>
  </si>
  <si>
    <t xml:space="preserve">Switch to the backup email provider; temporary support-assisted sign-in.</t>
  </si>
  <si>
    <t xml:space="preserve">OTP delivery success below 98% or median delivery above 60 seconds.</t>
  </si>
  <si>
    <t xml:space="preserve">Open - domain verification pending (Dependency D-04)</t>
  </si>
  <si>
    <t xml:space="preserve">R17</t>
  </si>
  <si>
    <t xml:space="preserve">Post-launch knowledge-base drift: content is not maintained and answer quality decays.</t>
  </si>
  <si>
    <t xml:space="preserve">Operational</t>
  </si>
  <si>
    <t xml:space="preserve">Content owner per category; review-date field and monthly review; fallback-topics report in dashboard; handover to Support Operations at closure.</t>
  </si>
  <si>
    <t xml:space="preserve">Assign interim content owner; run a focused content sprint on top fallback topics.</t>
  </si>
  <si>
    <t xml:space="preserve">Fallback rate rising for 3 consecutive weeks, or more than 10% of articles past review date.</t>
  </si>
  <si>
    <t xml:space="preserve">Open - post-launch risk</t>
  </si>
  <si>
    <t xml:space="preserve">Risk Heat Map (live counts of risks per Probability x Impact cell)</t>
  </si>
  <si>
    <t xml:space="preserve">Counts are formulas on the register. Cell colour shows the rating band of the cell.</t>
  </si>
  <si>
    <t xml:space="preserve">Probability \ Impact</t>
  </si>
  <si>
    <t xml:space="preserve">1 Negligible</t>
  </si>
  <si>
    <t xml:space="preserve">2 Minor</t>
  </si>
  <si>
    <t xml:space="preserve">3 Moderate</t>
  </si>
  <si>
    <t xml:space="preserve">4 Major</t>
  </si>
  <si>
    <t xml:space="preserve">5 Severe</t>
  </si>
  <si>
    <t xml:space="preserve">5 Almost certain</t>
  </si>
  <si>
    <t xml:space="preserve">4 Likely</t>
  </si>
  <si>
    <t xml:space="preserve">3 Possible</t>
  </si>
  <si>
    <t xml:space="preserve">2 Unlikely</t>
  </si>
  <si>
    <t xml:space="preserve">1 Rare</t>
  </si>
  <si>
    <t xml:space="preserve">Risks (current)</t>
  </si>
  <si>
    <t xml:space="preserve">Risks (residual target)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</si>
  <si>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</si>
  <si>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</si>
  <si>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</si>
  <si>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</si>
  <si>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</si>
  <si>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Scoring Guide</t>
  </si>
  <si>
    <t xml:space="preserve">Scales used for this register (project-specific, set by the PM and agreed with the Product Manager).</t>
  </si>
  <si>
    <t xml:space="preserve">Probability</t>
  </si>
  <si>
    <t xml:space="preserve">Impact (schedule / cost / quality / reputation)</t>
  </si>
  <si>
    <t xml:space="preserve">Rare: below 10%</t>
  </si>
  <si>
    <t xml:space="preserve">Negligible: under 1 day delay; under 200 USD; no customer effect.</t>
  </si>
  <si>
    <t xml:space="preserve">Unlikely: 10-30%</t>
  </si>
  <si>
    <t xml:space="preserve">Minor: 1-2 days delay; 200-500 USD; internal rework of part of a story.</t>
  </si>
  <si>
    <t xml:space="preserve">Possible: 30-50%</t>
  </si>
  <si>
    <t xml:space="preserve">Moderate: 3-5 days delay; 500-1,500 USD; one story re-done; small number of customers affected.</t>
  </si>
  <si>
    <t xml:space="preserve">Likely: 50-75%</t>
  </si>
  <si>
    <t xml:space="preserve">Major: 1-2 weeks delay or a milestone missed; over 1,500 USD; customer-visible wrong answers.</t>
  </si>
  <si>
    <t xml:space="preserve">Almost certain: over 75%</t>
  </si>
  <si>
    <t xml:space="preserve">Severe: go-live blocked; personal-data breach; serious reputational harm.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</si>
</sst>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9"/>
      <color rgb="FF9C000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5F8FC"/>
      </patternFill>
    </fill>
    <fill>
      <patternFill patternType="solid">
        <fgColor rgb="FF1F3864"/>
        <bgColor rgb="FF333399"/>
      </patternFill>
    </fill>
    <fill>
      <patternFill patternType="solid">
        <fgColor rgb="FFF5F8FC"/>
        <bgColor rgb="FFFFFFFF"/>
      </patternFill>
    </fill>
    <fill>
      <patternFill patternType="solid">
        <fgColor rgb="FFFFE699"/>
        <bgColor rgb="FFFFF2CC"/>
      </patternFill>
    </fill>
    <fill>
      <patternFill patternType="solid">
        <fgColor rgb="FFF4B183"/>
        <bgColor rgb="FFFF99CC"/>
      </patternFill>
    </fill>
    <fill>
      <patternFill patternType="solid">
        <fgColor rgb="FFC00000"/>
        <bgColor rgb="FF9C0006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6B5200"/>
          <bgColor rgb="FF000000"/>
        </patternFill>
      </fill>
    </dxf>
    <dxf>
      <fill>
        <patternFill patternType="solid">
          <fgColor rgb="FF7B1E00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7B1E00"/>
      </font>
      <fill>
        <patternFill>
          <bgColor rgb="FFF4B183"/>
        </patternFill>
      </fill>
    </dxf>
    <dxf>
      <font>
        <name val="Arial"/>
        <charset val="1"/>
        <family val="0"/>
        <b val="1"/>
        <color rgb="FF6B52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6B5200"/>
      <rgbColor rgb="FF800080"/>
      <rgbColor rgb="FF008080"/>
      <rgbColor rgb="FFBFBFBF"/>
      <rgbColor rgb="FF7F7F7F"/>
      <rgbColor rgb="FF9999FF"/>
      <rgbColor rgb="FF993366"/>
      <rgbColor rgb="FFFFF2CC"/>
      <rgbColor rgb="FFF5F8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1E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7"/>
    <col collapsed="false" customWidth="true" hidden="false" outlineLevel="0" max="9" min="9" style="0" width="62"/>
    <col collapsed="false" customWidth="true" hidden="false" outlineLevel="0" max="10" min="10" style="0" width="48"/>
    <col collapsed="false" customWidth="true" hidden="false" outlineLevel="0" max="11" min="11" style="0" width="40"/>
    <col collapsed="false" customWidth="true" hidden="false" outlineLevel="0" max="13" min="12" style="0" width="9"/>
    <col collapsed="false" customWidth="true" hidden="false" outlineLevel="0" max="14" min="14" style="0" width="10"/>
    <col collapsed="false" customWidth="true" hidden="false" outlineLevel="0" max="15" min="15" style="0" width="36"/>
  </cols>
  <sheetData>
    <row r="1" customFormat="false" ht="24" hidden="false" customHeight="tru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customFormat="false" ht="43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customFormat="false" ht="66.75" hidden="false" customHeight="true" outlineLevel="0" collapsed="false">
      <c r="A6" s="5" t="s">
        <v>18</v>
      </c>
      <c r="B6" s="6" t="s">
        <v>19</v>
      </c>
      <c r="C6" s="6" t="s">
        <v>20</v>
      </c>
      <c r="D6" s="7" t="n">
        <v>4</v>
      </c>
      <c r="E6" s="7" t="n">
        <v>5</v>
      </c>
      <c r="F6" s="8" t="n">
        <f aca="false">D6*E6</f>
        <v>20</v>
      </c>
      <c r="G6" s="9" t="str">
        <f aca="false">IF(F6&gt;=15,"Critical",IF(F6&gt;=10,"High",IF(F6&gt;=5,"Medium","Low")))</f>
        <v>Critical</v>
      </c>
      <c r="H6" s="6" t="s">
        <v>21</v>
      </c>
      <c r="I6" s="6" t="s">
        <v>22</v>
      </c>
      <c r="J6" s="6" t="s">
        <v>23</v>
      </c>
      <c r="K6" s="6" t="s">
        <v>24</v>
      </c>
      <c r="L6" s="7" t="n">
        <v>2</v>
      </c>
      <c r="M6" s="7" t="n">
        <v>5</v>
      </c>
      <c r="N6" s="8" t="n">
        <f aca="false">L6*M6</f>
        <v>10</v>
      </c>
      <c r="O6" s="6" t="s">
        <v>25</v>
      </c>
    </row>
    <row r="7" customFormat="false" ht="41.25" hidden="false" customHeight="true" outlineLevel="0" collapsed="false">
      <c r="A7" s="10" t="s">
        <v>26</v>
      </c>
      <c r="B7" s="11" t="s">
        <v>27</v>
      </c>
      <c r="C7" s="11" t="s">
        <v>20</v>
      </c>
      <c r="D7" s="12" t="n">
        <v>3</v>
      </c>
      <c r="E7" s="12" t="n">
        <v>4</v>
      </c>
      <c r="F7" s="13" t="n">
        <f aca="false">D7*E7</f>
        <v>12</v>
      </c>
      <c r="G7" s="14" t="str">
        <f aca="false">IF(F7&gt;=15,"Critical",IF(F7&gt;=10,"High",IF(F7&gt;=5,"Medium","Low")))</f>
        <v>High</v>
      </c>
      <c r="H7" s="11" t="s">
        <v>21</v>
      </c>
      <c r="I7" s="11" t="s">
        <v>28</v>
      </c>
      <c r="J7" s="11" t="s">
        <v>29</v>
      </c>
      <c r="K7" s="11" t="s">
        <v>30</v>
      </c>
      <c r="L7" s="12" t="n">
        <v>2</v>
      </c>
      <c r="M7" s="12" t="n">
        <v>4</v>
      </c>
      <c r="N7" s="13" t="n">
        <f aca="false">L7*M7</f>
        <v>8</v>
      </c>
      <c r="O7" s="11" t="s">
        <v>31</v>
      </c>
    </row>
    <row r="8" customFormat="false" ht="41.25" hidden="false" customHeight="true" outlineLevel="0" collapsed="false">
      <c r="A8" s="5" t="s">
        <v>32</v>
      </c>
      <c r="B8" s="6" t="s">
        <v>33</v>
      </c>
      <c r="C8" s="6" t="s">
        <v>34</v>
      </c>
      <c r="D8" s="7" t="n">
        <v>4</v>
      </c>
      <c r="E8" s="7" t="n">
        <v>4</v>
      </c>
      <c r="F8" s="8" t="n">
        <f aca="false">D8*E8</f>
        <v>16</v>
      </c>
      <c r="G8" s="9" t="str">
        <f aca="false">IF(F8&gt;=15,"Critical",IF(F8&gt;=10,"High",IF(F8&gt;=5,"Medium","Low")))</f>
        <v>Critical</v>
      </c>
      <c r="H8" s="6" t="s">
        <v>35</v>
      </c>
      <c r="I8" s="6" t="s">
        <v>36</v>
      </c>
      <c r="J8" s="6" t="s">
        <v>37</v>
      </c>
      <c r="K8" s="6" t="s">
        <v>38</v>
      </c>
      <c r="L8" s="7" t="n">
        <v>2</v>
      </c>
      <c r="M8" s="7" t="n">
        <v>4</v>
      </c>
      <c r="N8" s="8" t="n">
        <f aca="false">L8*M8</f>
        <v>8</v>
      </c>
      <c r="O8" s="6" t="s">
        <v>39</v>
      </c>
    </row>
    <row r="9" customFormat="false" ht="54" hidden="false" customHeight="true" outlineLevel="0" collapsed="false">
      <c r="A9" s="10" t="s">
        <v>40</v>
      </c>
      <c r="B9" s="11" t="s">
        <v>41</v>
      </c>
      <c r="C9" s="11" t="s">
        <v>42</v>
      </c>
      <c r="D9" s="12" t="n">
        <v>3</v>
      </c>
      <c r="E9" s="12" t="n">
        <v>5</v>
      </c>
      <c r="F9" s="13" t="n">
        <f aca="false">D9*E9</f>
        <v>15</v>
      </c>
      <c r="G9" s="14" t="str">
        <f aca="false">IF(F9&gt;=15,"Critical",IF(F9&gt;=10,"High",IF(F9&gt;=5,"Medium","Low")))</f>
        <v>Critical</v>
      </c>
      <c r="H9" s="11" t="s">
        <v>43</v>
      </c>
      <c r="I9" s="11" t="s">
        <v>44</v>
      </c>
      <c r="J9" s="11" t="s">
        <v>45</v>
      </c>
      <c r="K9" s="11" t="s">
        <v>46</v>
      </c>
      <c r="L9" s="12" t="n">
        <v>1</v>
      </c>
      <c r="M9" s="12" t="n">
        <v>5</v>
      </c>
      <c r="N9" s="13" t="n">
        <f aca="false">L9*M9</f>
        <v>5</v>
      </c>
      <c r="O9" s="11" t="s">
        <v>47</v>
      </c>
    </row>
    <row r="10" customFormat="false" ht="54" hidden="false" customHeight="true" outlineLevel="0" collapsed="false">
      <c r="A10" s="5" t="s">
        <v>48</v>
      </c>
      <c r="B10" s="6" t="s">
        <v>49</v>
      </c>
      <c r="C10" s="6" t="s">
        <v>42</v>
      </c>
      <c r="D10" s="7" t="n">
        <v>3</v>
      </c>
      <c r="E10" s="7" t="n">
        <v>5</v>
      </c>
      <c r="F10" s="8" t="n">
        <f aca="false">D10*E10</f>
        <v>15</v>
      </c>
      <c r="G10" s="9" t="str">
        <f aca="false">IF(F10&gt;=15,"Critical",IF(F10&gt;=10,"High",IF(F10&gt;=5,"Medium","Low")))</f>
        <v>Critical</v>
      </c>
      <c r="H10" s="6" t="s">
        <v>43</v>
      </c>
      <c r="I10" s="6" t="s">
        <v>50</v>
      </c>
      <c r="J10" s="6" t="s">
        <v>51</v>
      </c>
      <c r="K10" s="6" t="s">
        <v>52</v>
      </c>
      <c r="L10" s="7" t="n">
        <v>2</v>
      </c>
      <c r="M10" s="7" t="n">
        <v>4</v>
      </c>
      <c r="N10" s="8" t="n">
        <f aca="false">L10*M10</f>
        <v>8</v>
      </c>
      <c r="O10" s="6" t="s">
        <v>53</v>
      </c>
    </row>
    <row r="11" customFormat="false" ht="41.25" hidden="false" customHeight="true" outlineLevel="0" collapsed="false">
      <c r="A11" s="10" t="s">
        <v>54</v>
      </c>
      <c r="B11" s="11" t="s">
        <v>55</v>
      </c>
      <c r="C11" s="11" t="s">
        <v>56</v>
      </c>
      <c r="D11" s="12" t="n">
        <v>3</v>
      </c>
      <c r="E11" s="12" t="n">
        <v>4</v>
      </c>
      <c r="F11" s="13" t="n">
        <f aca="false">D11*E11</f>
        <v>12</v>
      </c>
      <c r="G11" s="14" t="str">
        <f aca="false">IF(F11&gt;=15,"Critical",IF(F11&gt;=10,"High",IF(F11&gt;=5,"Medium","Low")))</f>
        <v>High</v>
      </c>
      <c r="H11" s="11" t="s">
        <v>21</v>
      </c>
      <c r="I11" s="11" t="s">
        <v>57</v>
      </c>
      <c r="J11" s="11" t="s">
        <v>58</v>
      </c>
      <c r="K11" s="11" t="s">
        <v>59</v>
      </c>
      <c r="L11" s="12" t="n">
        <v>2</v>
      </c>
      <c r="M11" s="12" t="n">
        <v>3</v>
      </c>
      <c r="N11" s="13" t="n">
        <f aca="false">L11*M11</f>
        <v>6</v>
      </c>
      <c r="O11" s="11" t="s">
        <v>60</v>
      </c>
    </row>
    <row r="12" customFormat="false" ht="41.25" hidden="false" customHeight="true" outlineLevel="0" collapsed="false">
      <c r="A12" s="5" t="s">
        <v>61</v>
      </c>
      <c r="B12" s="6" t="s">
        <v>62</v>
      </c>
      <c r="C12" s="6" t="s">
        <v>63</v>
      </c>
      <c r="D12" s="7" t="n">
        <v>3</v>
      </c>
      <c r="E12" s="7" t="n">
        <v>3</v>
      </c>
      <c r="F12" s="8" t="n">
        <f aca="false">D12*E12</f>
        <v>9</v>
      </c>
      <c r="G12" s="9" t="str">
        <f aca="false">IF(F12&gt;=15,"Critical",IF(F12&gt;=10,"High",IF(F12&gt;=5,"Medium","Low")))</f>
        <v>Medium</v>
      </c>
      <c r="H12" s="6" t="s">
        <v>64</v>
      </c>
      <c r="I12" s="6" t="s">
        <v>65</v>
      </c>
      <c r="J12" s="6" t="s">
        <v>66</v>
      </c>
      <c r="K12" s="6" t="s">
        <v>67</v>
      </c>
      <c r="L12" s="7" t="n">
        <v>2</v>
      </c>
      <c r="M12" s="7" t="n">
        <v>2</v>
      </c>
      <c r="N12" s="8" t="n">
        <f aca="false">L12*M12</f>
        <v>4</v>
      </c>
      <c r="O12" s="6" t="s">
        <v>68</v>
      </c>
    </row>
    <row r="13" customFormat="false" ht="41.25" hidden="false" customHeight="true" outlineLevel="0" collapsed="false">
      <c r="A13" s="10" t="s">
        <v>69</v>
      </c>
      <c r="B13" s="11" t="s">
        <v>70</v>
      </c>
      <c r="C13" s="11" t="s">
        <v>71</v>
      </c>
      <c r="D13" s="12" t="n">
        <v>4</v>
      </c>
      <c r="E13" s="12" t="n">
        <v>4</v>
      </c>
      <c r="F13" s="13" t="n">
        <f aca="false">D13*E13</f>
        <v>16</v>
      </c>
      <c r="G13" s="14" t="str">
        <f aca="false">IF(F13&gt;=15,"Critical",IF(F13&gt;=10,"High",IF(F13&gt;=5,"Medium","Low")))</f>
        <v>Critical</v>
      </c>
      <c r="H13" s="11" t="s">
        <v>64</v>
      </c>
      <c r="I13" s="11" t="s">
        <v>72</v>
      </c>
      <c r="J13" s="11" t="s">
        <v>73</v>
      </c>
      <c r="K13" s="11" t="s">
        <v>74</v>
      </c>
      <c r="L13" s="12" t="n">
        <v>2</v>
      </c>
      <c r="M13" s="12" t="n">
        <v>3</v>
      </c>
      <c r="N13" s="13" t="n">
        <f aca="false">L13*M13</f>
        <v>6</v>
      </c>
      <c r="O13" s="11" t="s">
        <v>75</v>
      </c>
    </row>
    <row r="14" customFormat="false" ht="41.25" hidden="false" customHeight="true" outlineLevel="0" collapsed="false">
      <c r="A14" s="5" t="s">
        <v>76</v>
      </c>
      <c r="B14" s="6" t="s">
        <v>77</v>
      </c>
      <c r="C14" s="6" t="s">
        <v>78</v>
      </c>
      <c r="D14" s="7" t="n">
        <v>4</v>
      </c>
      <c r="E14" s="7" t="n">
        <v>3</v>
      </c>
      <c r="F14" s="8" t="n">
        <f aca="false">D14*E14</f>
        <v>12</v>
      </c>
      <c r="G14" s="9" t="str">
        <f aca="false">IF(F14&gt;=15,"Critical",IF(F14&gt;=10,"High",IF(F14&gt;=5,"Medium","Low")))</f>
        <v>High</v>
      </c>
      <c r="H14" s="6" t="s">
        <v>64</v>
      </c>
      <c r="I14" s="6" t="s">
        <v>79</v>
      </c>
      <c r="J14" s="6" t="s">
        <v>80</v>
      </c>
      <c r="K14" s="6" t="s">
        <v>81</v>
      </c>
      <c r="L14" s="7" t="n">
        <v>3</v>
      </c>
      <c r="M14" s="7" t="n">
        <v>2</v>
      </c>
      <c r="N14" s="8" t="n">
        <f aca="false">L14*M14</f>
        <v>6</v>
      </c>
      <c r="O14" s="6" t="s">
        <v>82</v>
      </c>
    </row>
    <row r="15" customFormat="false" ht="41.25" hidden="false" customHeight="true" outlineLevel="0" collapsed="false">
      <c r="A15" s="10" t="s">
        <v>83</v>
      </c>
      <c r="B15" s="11" t="s">
        <v>84</v>
      </c>
      <c r="C15" s="11" t="s">
        <v>85</v>
      </c>
      <c r="D15" s="12" t="n">
        <v>3</v>
      </c>
      <c r="E15" s="12" t="n">
        <v>4</v>
      </c>
      <c r="F15" s="13" t="n">
        <f aca="false">D15*E15</f>
        <v>12</v>
      </c>
      <c r="G15" s="14" t="str">
        <f aca="false">IF(F15&gt;=15,"Critical",IF(F15&gt;=10,"High",IF(F15&gt;=5,"Medium","Low")))</f>
        <v>High</v>
      </c>
      <c r="H15" s="11" t="s">
        <v>43</v>
      </c>
      <c r="I15" s="11" t="s">
        <v>86</v>
      </c>
      <c r="J15" s="11" t="s">
        <v>87</v>
      </c>
      <c r="K15" s="11" t="s">
        <v>88</v>
      </c>
      <c r="L15" s="12" t="n">
        <v>2</v>
      </c>
      <c r="M15" s="12" t="n">
        <v>3</v>
      </c>
      <c r="N15" s="13" t="n">
        <f aca="false">L15*M15</f>
        <v>6</v>
      </c>
      <c r="O15" s="11" t="s">
        <v>89</v>
      </c>
    </row>
    <row r="16" customFormat="false" ht="28.5" hidden="false" customHeight="true" outlineLevel="0" collapsed="false">
      <c r="A16" s="5" t="s">
        <v>90</v>
      </c>
      <c r="B16" s="6" t="s">
        <v>91</v>
      </c>
      <c r="C16" s="6" t="s">
        <v>85</v>
      </c>
      <c r="D16" s="7" t="n">
        <v>3</v>
      </c>
      <c r="E16" s="7" t="n">
        <v>3</v>
      </c>
      <c r="F16" s="8" t="n">
        <f aca="false">D16*E16</f>
        <v>9</v>
      </c>
      <c r="G16" s="9" t="str">
        <f aca="false">IF(F16&gt;=15,"Critical",IF(F16&gt;=10,"High",IF(F16&gt;=5,"Medium","Low")))</f>
        <v>Medium</v>
      </c>
      <c r="H16" s="6" t="s">
        <v>92</v>
      </c>
      <c r="I16" s="6" t="s">
        <v>93</v>
      </c>
      <c r="J16" s="6" t="s">
        <v>94</v>
      </c>
      <c r="K16" s="6" t="s">
        <v>95</v>
      </c>
      <c r="L16" s="7" t="n">
        <v>2</v>
      </c>
      <c r="M16" s="7" t="n">
        <v>2</v>
      </c>
      <c r="N16" s="8" t="n">
        <f aca="false">L16*M16</f>
        <v>4</v>
      </c>
      <c r="O16" s="6" t="s">
        <v>96</v>
      </c>
    </row>
    <row r="17" customFormat="false" ht="41.25" hidden="false" customHeight="true" outlineLevel="0" collapsed="false">
      <c r="A17" s="10" t="s">
        <v>97</v>
      </c>
      <c r="B17" s="11" t="s">
        <v>98</v>
      </c>
      <c r="C17" s="11" t="s">
        <v>99</v>
      </c>
      <c r="D17" s="12" t="n">
        <v>3</v>
      </c>
      <c r="E17" s="12" t="n">
        <v>4</v>
      </c>
      <c r="F17" s="13" t="n">
        <f aca="false">D17*E17</f>
        <v>12</v>
      </c>
      <c r="G17" s="14" t="str">
        <f aca="false">IF(F17&gt;=15,"Critical",IF(F17&gt;=10,"High",IF(F17&gt;=5,"Medium","Low")))</f>
        <v>High</v>
      </c>
      <c r="H17" s="11" t="s">
        <v>64</v>
      </c>
      <c r="I17" s="11" t="s">
        <v>100</v>
      </c>
      <c r="J17" s="11" t="s">
        <v>101</v>
      </c>
      <c r="K17" s="11" t="s">
        <v>102</v>
      </c>
      <c r="L17" s="12" t="n">
        <v>2</v>
      </c>
      <c r="M17" s="12" t="n">
        <v>3</v>
      </c>
      <c r="N17" s="13" t="n">
        <f aca="false">L17*M17</f>
        <v>6</v>
      </c>
      <c r="O17" s="11" t="s">
        <v>103</v>
      </c>
    </row>
    <row r="18" customFormat="false" ht="41.25" hidden="false" customHeight="true" outlineLevel="0" collapsed="false">
      <c r="A18" s="5" t="s">
        <v>104</v>
      </c>
      <c r="B18" s="6" t="s">
        <v>105</v>
      </c>
      <c r="C18" s="6" t="s">
        <v>106</v>
      </c>
      <c r="D18" s="7" t="n">
        <v>3</v>
      </c>
      <c r="E18" s="7" t="n">
        <v>3</v>
      </c>
      <c r="F18" s="8" t="n">
        <f aca="false">D18*E18</f>
        <v>9</v>
      </c>
      <c r="G18" s="9" t="str">
        <f aca="false">IF(F18&gt;=15,"Critical",IF(F18&gt;=10,"High",IF(F18&gt;=5,"Medium","Low")))</f>
        <v>Medium</v>
      </c>
      <c r="H18" s="6" t="s">
        <v>64</v>
      </c>
      <c r="I18" s="6" t="s">
        <v>107</v>
      </c>
      <c r="J18" s="6" t="s">
        <v>108</v>
      </c>
      <c r="K18" s="6" t="s">
        <v>109</v>
      </c>
      <c r="L18" s="7" t="n">
        <v>2</v>
      </c>
      <c r="M18" s="7" t="n">
        <v>2</v>
      </c>
      <c r="N18" s="8" t="n">
        <f aca="false">L18*M18</f>
        <v>4</v>
      </c>
      <c r="O18" s="6" t="s">
        <v>110</v>
      </c>
    </row>
    <row r="19" customFormat="false" ht="41.25" hidden="false" customHeight="true" outlineLevel="0" collapsed="false">
      <c r="A19" s="10" t="s">
        <v>111</v>
      </c>
      <c r="B19" s="11" t="s">
        <v>112</v>
      </c>
      <c r="C19" s="11" t="s">
        <v>113</v>
      </c>
      <c r="D19" s="12" t="n">
        <v>3</v>
      </c>
      <c r="E19" s="12" t="n">
        <v>3</v>
      </c>
      <c r="F19" s="13" t="n">
        <f aca="false">D19*E19</f>
        <v>9</v>
      </c>
      <c r="G19" s="14" t="str">
        <f aca="false">IF(F19&gt;=15,"Critical",IF(F19&gt;=10,"High",IF(F19&gt;=5,"Medium","Low")))</f>
        <v>Medium</v>
      </c>
      <c r="H19" s="11" t="s">
        <v>35</v>
      </c>
      <c r="I19" s="11" t="s">
        <v>114</v>
      </c>
      <c r="J19" s="11" t="s">
        <v>115</v>
      </c>
      <c r="K19" s="11" t="s">
        <v>116</v>
      </c>
      <c r="L19" s="12" t="n">
        <v>2</v>
      </c>
      <c r="M19" s="12" t="n">
        <v>2</v>
      </c>
      <c r="N19" s="13" t="n">
        <f aca="false">L19*M19</f>
        <v>4</v>
      </c>
      <c r="O19" s="11" t="s">
        <v>117</v>
      </c>
    </row>
    <row r="20" customFormat="false" ht="41.25" hidden="false" customHeight="true" outlineLevel="0" collapsed="false">
      <c r="A20" s="5" t="s">
        <v>118</v>
      </c>
      <c r="B20" s="6" t="s">
        <v>119</v>
      </c>
      <c r="C20" s="6" t="s">
        <v>120</v>
      </c>
      <c r="D20" s="7" t="n">
        <v>3</v>
      </c>
      <c r="E20" s="7" t="n">
        <v>3</v>
      </c>
      <c r="F20" s="8" t="n">
        <f aca="false">D20*E20</f>
        <v>9</v>
      </c>
      <c r="G20" s="9" t="str">
        <f aca="false">IF(F20&gt;=15,"Critical",IF(F20&gt;=10,"High",IF(F20&gt;=5,"Medium","Low")))</f>
        <v>Medium</v>
      </c>
      <c r="H20" s="6" t="s">
        <v>35</v>
      </c>
      <c r="I20" s="6" t="s">
        <v>121</v>
      </c>
      <c r="J20" s="6" t="s">
        <v>122</v>
      </c>
      <c r="K20" s="6" t="s">
        <v>123</v>
      </c>
      <c r="L20" s="7" t="n">
        <v>2</v>
      </c>
      <c r="M20" s="7" t="n">
        <v>2</v>
      </c>
      <c r="N20" s="8" t="n">
        <f aca="false">L20*M20</f>
        <v>4</v>
      </c>
      <c r="O20" s="6" t="s">
        <v>124</v>
      </c>
    </row>
    <row r="21" customFormat="false" ht="28.5" hidden="false" customHeight="true" outlineLevel="0" collapsed="false">
      <c r="A21" s="10" t="s">
        <v>125</v>
      </c>
      <c r="B21" s="11" t="s">
        <v>126</v>
      </c>
      <c r="C21" s="11" t="s">
        <v>56</v>
      </c>
      <c r="D21" s="12" t="n">
        <v>2</v>
      </c>
      <c r="E21" s="12" t="n">
        <v>3</v>
      </c>
      <c r="F21" s="13" t="n">
        <f aca="false">D21*E21</f>
        <v>6</v>
      </c>
      <c r="G21" s="14" t="str">
        <f aca="false">IF(F21&gt;=15,"Critical",IF(F21&gt;=10,"High",IF(F21&gt;=5,"Medium","Low")))</f>
        <v>Medium</v>
      </c>
      <c r="H21" s="11" t="s">
        <v>43</v>
      </c>
      <c r="I21" s="11" t="s">
        <v>127</v>
      </c>
      <c r="J21" s="11" t="s">
        <v>128</v>
      </c>
      <c r="K21" s="11" t="s">
        <v>129</v>
      </c>
      <c r="L21" s="12" t="n">
        <v>1</v>
      </c>
      <c r="M21" s="12" t="n">
        <v>3</v>
      </c>
      <c r="N21" s="13" t="n">
        <f aca="false">L21*M21</f>
        <v>3</v>
      </c>
      <c r="O21" s="11" t="s">
        <v>130</v>
      </c>
    </row>
    <row r="22" customFormat="false" ht="41.25" hidden="false" customHeight="true" outlineLevel="0" collapsed="false">
      <c r="A22" s="5" t="s">
        <v>131</v>
      </c>
      <c r="B22" s="6" t="s">
        <v>132</v>
      </c>
      <c r="C22" s="6" t="s">
        <v>133</v>
      </c>
      <c r="D22" s="7" t="n">
        <v>3</v>
      </c>
      <c r="E22" s="7" t="n">
        <v>3</v>
      </c>
      <c r="F22" s="8" t="n">
        <f aca="false">D22*E22</f>
        <v>9</v>
      </c>
      <c r="G22" s="9" t="str">
        <f aca="false">IF(F22&gt;=15,"Critical",IF(F22&gt;=10,"High",IF(F22&gt;=5,"Medium","Low")))</f>
        <v>Medium</v>
      </c>
      <c r="H22" s="6" t="s">
        <v>35</v>
      </c>
      <c r="I22" s="6" t="s">
        <v>134</v>
      </c>
      <c r="J22" s="6" t="s">
        <v>135</v>
      </c>
      <c r="K22" s="6" t="s">
        <v>136</v>
      </c>
      <c r="L22" s="7" t="n">
        <v>2</v>
      </c>
      <c r="M22" s="7" t="n">
        <v>2</v>
      </c>
      <c r="N22" s="8" t="n">
        <f aca="false">L22*M22</f>
        <v>4</v>
      </c>
      <c r="O22" s="6" t="s">
        <v>137</v>
      </c>
    </row>
  </sheetData>
  <autoFilter ref="A5:O22"/>
  <mergeCells count="2">
    <mergeCell ref="A2:O2"/>
    <mergeCell ref="A3:O3"/>
  </mergeCells>
  <conditionalFormatting sqref="G6:G22">
    <cfRule type="expression" priority="2" aboveAverage="0" equalAverage="0" bottom="0" percent="0" rank="0" text="" dxfId="11">
      <formula>G6="Critical"</formula>
    </cfRule>
    <cfRule type="expression" priority="3" aboveAverage="0" equalAverage="0" bottom="0" percent="0" rank="0" text="" dxfId="12">
      <formula>G6="High"</formula>
    </cfRule>
    <cfRule type="expression" priority="4" aboveAverage="0" equalAverage="0" bottom="0" percent="0" rank="0" text="" dxfId="13">
      <formula>G6="Medium"</formula>
    </cfRule>
    <cfRule type="expression" priority="5" aboveAverage="0" equalAverage="0" bottom="0" percent="0" rank="0" text="" dxfId="14">
      <formula>G6="Low"</formula>
    </cfRule>
  </conditionalFormatting>
  <dataValidations count="1">
    <dataValidation allowBlank="true" error="Choose a value from the list" errorStyle="stop" operator="between" showDropDown="false" showErrorMessage="false" showInputMessage="false" sqref="D6:E22" type="list">
      <formula1>"1,2,3,4,5"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Simulated self-directed portfolio project -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6"/>
  </cols>
  <sheetData>
    <row r="1" customFormat="false" ht="24" hidden="false" customHeight="true" outlineLevel="0" collapsed="false">
      <c r="A1" s="1" t="s">
        <v>138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A3" s="3" t="s">
        <v>139</v>
      </c>
      <c r="B3" s="3"/>
      <c r="C3" s="3"/>
      <c r="D3" s="3"/>
      <c r="E3" s="3"/>
      <c r="F3" s="3"/>
      <c r="G3" s="3"/>
    </row>
    <row r="6" customFormat="false" ht="15" hidden="false" customHeight="false" outlineLevel="0" collapsed="false">
      <c r="A6" s="15" t="s">
        <v>140</v>
      </c>
      <c r="B6" s="16" t="s">
        <v>141</v>
      </c>
      <c r="C6" s="16" t="s">
        <v>142</v>
      </c>
      <c r="D6" s="16" t="s">
        <v>143</v>
      </c>
      <c r="E6" s="16" t="s">
        <v>144</v>
      </c>
      <c r="F6" s="16" t="s">
        <v>145</v>
      </c>
    </row>
    <row r="7" customFormat="false" ht="33.75" hidden="false" customHeight="true" outlineLevel="0" collapsed="false">
      <c r="A7" s="15" t="s">
        <v>146</v>
      </c>
      <c r="B7" s="17" t="n">
        <f aca="false">COUNTIFS('Risk Register'!$D$6:$D$22,5,'Risk Register'!$E$6:$E$22,1)</f>
        <v>0</v>
      </c>
      <c r="C7" s="18" t="n">
        <f aca="false">COUNTIFS('Risk Register'!$D$6:$D$22,5,'Risk Register'!$E$6:$E$22,2)</f>
        <v>0</v>
      </c>
      <c r="D7" s="19" t="n">
        <f aca="false">COUNTIFS('Risk Register'!$D$6:$D$22,5,'Risk Register'!$E$6:$E$22,3)</f>
        <v>0</v>
      </c>
      <c r="E7" s="19" t="n">
        <f aca="false">COUNTIFS('Risk Register'!$D$6:$D$22,5,'Risk Register'!$E$6:$E$22,4)</f>
        <v>0</v>
      </c>
      <c r="F7" s="19" t="n">
        <f aca="false">COUNTIFS('Risk Register'!$D$6:$D$22,5,'Risk Register'!$E$6:$E$22,5)</f>
        <v>0</v>
      </c>
    </row>
    <row r="8" customFormat="false" ht="33.75" hidden="false" customHeight="true" outlineLevel="0" collapsed="false">
      <c r="A8" s="15" t="s">
        <v>147</v>
      </c>
      <c r="B8" s="20" t="n">
        <f aca="false">COUNTIFS('Risk Register'!$D$6:$D$22,4,'Risk Register'!$E$6:$E$22,1)</f>
        <v>0</v>
      </c>
      <c r="C8" s="17" t="n">
        <f aca="false">COUNTIFS('Risk Register'!$D$6:$D$22,4,'Risk Register'!$E$6:$E$22,2)</f>
        <v>0</v>
      </c>
      <c r="D8" s="18" t="n">
        <f aca="false">COUNTIFS('Risk Register'!$D$6:$D$22,4,'Risk Register'!$E$6:$E$22,3)</f>
        <v>1</v>
      </c>
      <c r="E8" s="19" t="n">
        <f aca="false">COUNTIFS('Risk Register'!$D$6:$D$22,4,'Risk Register'!$E$6:$E$22,4)</f>
        <v>2</v>
      </c>
      <c r="F8" s="19" t="n">
        <f aca="false">COUNTIFS('Risk Register'!$D$6:$D$22,4,'Risk Register'!$E$6:$E$22,5)</f>
        <v>1</v>
      </c>
    </row>
    <row r="9" customFormat="false" ht="33.75" hidden="false" customHeight="true" outlineLevel="0" collapsed="false">
      <c r="A9" s="15" t="s">
        <v>148</v>
      </c>
      <c r="B9" s="20" t="n">
        <f aca="false">COUNTIFS('Risk Register'!$D$6:$D$22,3,'Risk Register'!$E$6:$E$22,1)</f>
        <v>0</v>
      </c>
      <c r="C9" s="17" t="n">
        <f aca="false">COUNTIFS('Risk Register'!$D$6:$D$22,3,'Risk Register'!$E$6:$E$22,2)</f>
        <v>0</v>
      </c>
      <c r="D9" s="17" t="n">
        <f aca="false">COUNTIFS('Risk Register'!$D$6:$D$22,3,'Risk Register'!$E$6:$E$22,3)</f>
        <v>6</v>
      </c>
      <c r="E9" s="18" t="n">
        <f aca="false">COUNTIFS('Risk Register'!$D$6:$D$22,3,'Risk Register'!$E$6:$E$22,4)</f>
        <v>4</v>
      </c>
      <c r="F9" s="19" t="n">
        <f aca="false">COUNTIFS('Risk Register'!$D$6:$D$22,3,'Risk Register'!$E$6:$E$22,5)</f>
        <v>2</v>
      </c>
    </row>
    <row r="10" customFormat="false" ht="33.75" hidden="false" customHeight="true" outlineLevel="0" collapsed="false">
      <c r="A10" s="15" t="s">
        <v>149</v>
      </c>
      <c r="B10" s="20" t="n">
        <f aca="false">COUNTIFS('Risk Register'!$D$6:$D$22,2,'Risk Register'!$E$6:$E$22,1)</f>
        <v>0</v>
      </c>
      <c r="C10" s="20" t="n">
        <f aca="false">COUNTIFS('Risk Register'!$D$6:$D$22,2,'Risk Register'!$E$6:$E$22,2)</f>
        <v>0</v>
      </c>
      <c r="D10" s="17" t="n">
        <f aca="false">COUNTIFS('Risk Register'!$D$6:$D$22,2,'Risk Register'!$E$6:$E$22,3)</f>
        <v>1</v>
      </c>
      <c r="E10" s="17" t="n">
        <f aca="false">COUNTIFS('Risk Register'!$D$6:$D$22,2,'Risk Register'!$E$6:$E$22,4)</f>
        <v>0</v>
      </c>
      <c r="F10" s="18" t="n">
        <f aca="false">COUNTIFS('Risk Register'!$D$6:$D$22,2,'Risk Register'!$E$6:$E$22,5)</f>
        <v>0</v>
      </c>
    </row>
    <row r="11" customFormat="false" ht="33.75" hidden="false" customHeight="true" outlineLevel="0" collapsed="false">
      <c r="A11" s="15" t="s">
        <v>150</v>
      </c>
      <c r="B11" s="20" t="n">
        <f aca="false">COUNTIFS('Risk Register'!$D$6:$D$22,1,'Risk Register'!$E$6:$E$22,1)</f>
        <v>0</v>
      </c>
      <c r="C11" s="20" t="n">
        <f aca="false">COUNTIFS('Risk Register'!$D$6:$D$22,1,'Risk Register'!$E$6:$E$22,2)</f>
        <v>0</v>
      </c>
      <c r="D11" s="20" t="n">
        <f aca="false">COUNTIFS('Risk Register'!$D$6:$D$22,1,'Risk Register'!$E$6:$E$22,3)</f>
        <v>0</v>
      </c>
      <c r="E11" s="20" t="n">
        <f aca="false">COUNTIFS('Risk Register'!$D$6:$D$22,1,'Risk Register'!$E$6:$E$22,4)</f>
        <v>0</v>
      </c>
      <c r="F11" s="17" t="n">
        <f aca="false">COUNTIFS('Risk Register'!$D$6:$D$22,1,'Risk Register'!$E$6:$E$22,5)</f>
        <v>0</v>
      </c>
    </row>
    <row r="14" customFormat="false" ht="15" hidden="false" customHeight="false" outlineLevel="0" collapsed="false">
      <c r="A14" s="16" t="s">
        <v>9</v>
      </c>
      <c r="B14" s="16" t="s">
        <v>151</v>
      </c>
      <c r="C14" s="16" t="s">
        <v>152</v>
      </c>
    </row>
    <row r="15" customFormat="false" ht="15" hidden="false" customHeight="false" outlineLevel="0" collapsed="false">
      <c r="A15" s="21" t="s">
        <v>153</v>
      </c>
      <c r="B15" s="22" t="n">
        <f aca="false">COUNTIF('Risk Register'!$G$6:$G$22,A15)</f>
        <v>5</v>
      </c>
      <c r="C15" s="22" t="n">
        <f aca="false">COUNTIFS('Risk Register'!$N$6:$N$22,"&gt;=15",'Risk Register'!$N$6:$N$22,"&lt;=25")</f>
        <v>0</v>
      </c>
    </row>
    <row r="16" customFormat="false" ht="15" hidden="false" customHeight="false" outlineLevel="0" collapsed="false">
      <c r="A16" s="21" t="s">
        <v>154</v>
      </c>
      <c r="B16" s="22" t="n">
        <f aca="false">COUNTIF('Risk Register'!$G$6:$G$22,A16)</f>
        <v>5</v>
      </c>
      <c r="C16" s="22" t="n">
        <f aca="false">COUNTIFS('Risk Register'!$N$6:$N$22,"&gt;=10",'Risk Register'!$N$6:$N$22,"&lt;=14")</f>
        <v>1</v>
      </c>
    </row>
    <row r="17" customFormat="false" ht="15" hidden="false" customHeight="false" outlineLevel="0" collapsed="false">
      <c r="A17" s="21" t="s">
        <v>155</v>
      </c>
      <c r="B17" s="22" t="n">
        <f aca="false">COUNTIF('Risk Register'!$G$6:$G$22,A17)</f>
        <v>7</v>
      </c>
      <c r="C17" s="22" t="n">
        <f aca="false">COUNTIFS('Risk Register'!$N$6:$N$22,"&gt;=5",'Risk Register'!$N$6:$N$22,"&lt;=9")</f>
        <v>9</v>
      </c>
    </row>
    <row r="18" customFormat="false" ht="15" hidden="false" customHeight="false" outlineLevel="0" collapsed="false">
      <c r="A18" s="21" t="s">
        <v>156</v>
      </c>
      <c r="B18" s="22" t="n">
        <f aca="false">COUNTIF('Risk Register'!$G$6:$G$22,A18)</f>
        <v>0</v>
      </c>
      <c r="C18" s="22" t="n">
        <f aca="false">COUNTIFS('Risk Register'!$N$6:$N$22,"&gt;=1",'Risk Register'!$N$6:$N$22,"&lt;=4")</f>
        <v>7</v>
      </c>
    </row>
    <row r="19" customFormat="false" ht="15" hidden="false" customHeight="false" outlineLevel="0" collapsed="false">
      <c r="A19" s="21" t="s">
        <v>157</v>
      </c>
      <c r="B19" s="23" t="n">
        <f aca="false">SUM(B15:B18)</f>
        <v>17</v>
      </c>
      <c r="C19" s="23" t="n">
        <f aca="false">SUM(C15:C18)</f>
        <v>17</v>
      </c>
    </row>
  </sheetData>
  <mergeCells count="2"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24" hidden="false" customHeight="true" outlineLevel="0" collapsed="false">
      <c r="A1" s="1" t="s">
        <v>158</v>
      </c>
    </row>
    <row r="2" customFormat="false" ht="25.5" hidden="false" customHeight="true" outlineLevel="0" collapsed="false">
      <c r="A2" s="2" t="s">
        <v>1</v>
      </c>
      <c r="B2" s="2"/>
      <c r="C2" s="2"/>
    </row>
    <row r="3" customFormat="false" ht="15" hidden="false" customHeight="true" outlineLevel="0" collapsed="false">
      <c r="A3" s="3" t="s">
        <v>159</v>
      </c>
      <c r="B3" s="3"/>
      <c r="C3" s="3"/>
    </row>
    <row r="6" customFormat="false" ht="30" hidden="false" customHeight="true" outlineLevel="0" collapsed="false">
      <c r="A6" s="4" t="s">
        <v>8</v>
      </c>
      <c r="B6" s="4" t="s">
        <v>160</v>
      </c>
      <c r="C6" s="4" t="s">
        <v>161</v>
      </c>
    </row>
    <row r="7" customFormat="false" ht="16.5" hidden="false" customHeight="true" outlineLevel="0" collapsed="false">
      <c r="A7" s="8" t="n">
        <v>1</v>
      </c>
      <c r="B7" s="6" t="s">
        <v>162</v>
      </c>
      <c r="C7" s="6" t="s">
        <v>163</v>
      </c>
    </row>
    <row r="8" customFormat="false" ht="16.5" hidden="false" customHeight="true" outlineLevel="0" collapsed="false">
      <c r="A8" s="13" t="n">
        <v>2</v>
      </c>
      <c r="B8" s="11" t="s">
        <v>164</v>
      </c>
      <c r="C8" s="11" t="s">
        <v>165</v>
      </c>
    </row>
    <row r="9" customFormat="false" ht="16.5" hidden="false" customHeight="true" outlineLevel="0" collapsed="false">
      <c r="A9" s="8" t="n">
        <v>3</v>
      </c>
      <c r="B9" s="6" t="s">
        <v>166</v>
      </c>
      <c r="C9" s="6" t="s">
        <v>167</v>
      </c>
    </row>
    <row r="10" customFormat="false" ht="16.5" hidden="false" customHeight="true" outlineLevel="0" collapsed="false">
      <c r="A10" s="13" t="n">
        <v>4</v>
      </c>
      <c r="B10" s="11" t="s">
        <v>168</v>
      </c>
      <c r="C10" s="11" t="s">
        <v>169</v>
      </c>
    </row>
    <row r="11" customFormat="false" ht="16.5" hidden="false" customHeight="true" outlineLevel="0" collapsed="false">
      <c r="A11" s="8" t="n">
        <v>5</v>
      </c>
      <c r="B11" s="6" t="s">
        <v>170</v>
      </c>
      <c r="C11" s="6" t="s">
        <v>171</v>
      </c>
    </row>
  </sheetData>
  <mergeCells count="2"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2026-10-17T05:38:20Z</dcterms:created>
  <dc:creator>openpyxl</dc:creator>
  <dc:description/>
  <dc:language>en-US</dc:language>
  <cp:lastModifiedBy/>
  <dcterms:modified xsi:type="dcterms:W3CDTF">2026-10-17T05:38:20Z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