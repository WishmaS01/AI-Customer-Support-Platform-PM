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</sheets>
  <definedNames>
    <definedName function="false" hidden="false" localSheetId="0" name="_xlnm.Print_Titles" vbProcedure="false">Gantt!$5:$7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<sst xmlns="http://schemas.openxmlformats.org/spreadsheetml/2006/main" count="330" uniqueCount="191">
  <si>
    <t xml:space="preserve">Gantt Chart - AI Customer Support Platform (10 weeks, 5 two-week sprints)</t>
  </si>
  <si>
    <t xml:space="preserve">SIMULATED PROJECT - Self-directed portfolio case study. Not professional experience, not client work, not employment. All people, figures and outcomes are fictional.</t>
  </si>
  <si>
    <t xml:space="preserve">Project start (Monday)</t>
  </si>
  <si>
    <t xml:space="preserve">Bars are driven by the Start / End columns and by conditional formatting; edit a date and the bar moves. Day columns skip weekends (no public holidays assumed).</t>
  </si>
  <si>
    <t xml:space="preserve">Sprint / week bands</t>
  </si>
  <si>
    <t xml:space="preserve">Sprint 1: Foundation</t>
  </si>
  <si>
    <t xml:space="preserve">Sprint 2: KB &amp; AI core</t>
  </si>
  <si>
    <t xml:space="preserve">Sprint 3: Customer chat</t>
  </si>
  <si>
    <t xml:space="preserve">Sprint 4: Handover</t>
  </si>
  <si>
    <t xml:space="preserve">Sprint 5: Release</t>
  </si>
  <si>
    <t xml:space="preserve">W1  5 Jan</t>
  </si>
  <si>
    <t xml:space="preserve">W2  12 Jan</t>
  </si>
  <si>
    <t xml:space="preserve">W3  19 Jan</t>
  </si>
  <si>
    <t xml:space="preserve">W4  26 Jan</t>
  </si>
  <si>
    <t xml:space="preserve">W5  2 Feb</t>
  </si>
  <si>
    <t xml:space="preserve">W6  9 Feb</t>
  </si>
  <si>
    <t xml:space="preserve">W7  16 Feb</t>
  </si>
  <si>
    <t xml:space="preserve">W8  23 Feb</t>
  </si>
  <si>
    <t xml:space="preserve">W9  2 Mar</t>
  </si>
  <si>
    <t xml:space="preserve">W10  9 Mar</t>
  </si>
  <si>
    <t xml:space="preserve">ID</t>
  </si>
  <si>
    <t xml:space="preserve">Work package / milestone</t>
  </si>
  <si>
    <t xml:space="preserve">Workstream</t>
  </si>
  <si>
    <t xml:space="preserve">Responsible role</t>
  </si>
  <si>
    <t xml:space="preserve">Start</t>
  </si>
  <si>
    <t xml:space="preserve">End</t>
  </si>
  <si>
    <t xml:space="preserve">Days</t>
  </si>
  <si>
    <t xml:space="preserve">Sprint</t>
  </si>
  <si>
    <t xml:space="preserve">1</t>
  </si>
  <si>
    <t xml:space="preserve">Project Initiation &amp; Management</t>
  </si>
  <si>
    <t xml:space="preserve">1.1</t>
  </si>
  <si>
    <t xml:space="preserve">Kickoff, Project Charter &amp; stakeholder register  [M1]</t>
  </si>
  <si>
    <t xml:space="preserve">Project Management</t>
  </si>
  <si>
    <t xml:space="preserve">Project Manager</t>
  </si>
  <si>
    <t xml:space="preserve">S1</t>
  </si>
  <si>
    <t xml:space="preserve">1.2</t>
  </si>
  <si>
    <t xml:space="preserve">Project planning (scope, WBS, schedule, risks, RACI, sprint plan)</t>
  </si>
  <si>
    <t xml:space="preserve">1.3</t>
  </si>
  <si>
    <t xml:space="preserve">Monitoring &amp; controlling (ceremonies, risk reviews, status reporting, change control)</t>
  </si>
  <si>
    <t xml:space="preserve">S1-S5</t>
  </si>
  <si>
    <t xml:space="preserve">2</t>
  </si>
  <si>
    <t xml:space="preserve">Requirements</t>
  </si>
  <si>
    <t xml:space="preserve">2.1</t>
  </si>
  <si>
    <t xml:space="preserve">Requirements elicitation (interviews, ticket-category analysis)</t>
  </si>
  <si>
    <t xml:space="preserve">Requirements &amp; UX</t>
  </si>
  <si>
    <t xml:space="preserve">Product Manager</t>
  </si>
  <si>
    <t xml:space="preserve">2.2</t>
  </si>
  <si>
    <t xml:space="preserve">Requirements documentation &amp; baseline  [M2]</t>
  </si>
  <si>
    <t xml:space="preserve">3</t>
  </si>
  <si>
    <t xml:space="preserve">UX / UI Design</t>
  </si>
  <si>
    <t xml:space="preserve">3.1</t>
  </si>
  <si>
    <t xml:space="preserve">UX research &amp; user flows</t>
  </si>
  <si>
    <t xml:space="preserve">UI/UX Designer</t>
  </si>
  <si>
    <t xml:space="preserve">3.2</t>
  </si>
  <si>
    <t xml:space="preserve">Wireframes &amp; clickable prototype</t>
  </si>
  <si>
    <t xml:space="preserve">3.3</t>
  </si>
  <si>
    <t xml:space="preserve">Usability check with support agents &amp; design handoff</t>
  </si>
  <si>
    <t xml:space="preserve">S2</t>
  </si>
  <si>
    <t xml:space="preserve">4</t>
  </si>
  <si>
    <t xml:space="preserve">Backend</t>
  </si>
  <si>
    <t xml:space="preserve">4.1</t>
  </si>
  <si>
    <t xml:space="preserve">Staff authentication &amp; role-based access</t>
  </si>
  <si>
    <t xml:space="preserve">Backend, Data &amp; Integration</t>
  </si>
  <si>
    <t xml:space="preserve">Backend Developer</t>
  </si>
  <si>
    <t xml:space="preserve">4.2</t>
  </si>
  <si>
    <t xml:space="preserve">KB management APIs (CRUD, publish, bulk import)</t>
  </si>
  <si>
    <t xml:space="preserve">4.3</t>
  </si>
  <si>
    <t xml:space="preserve">Customer sign-in (email one-time code)</t>
  </si>
  <si>
    <t xml:space="preserve">S3</t>
  </si>
  <si>
    <t xml:space="preserve">4.4</t>
  </si>
  <si>
    <t xml:space="preserve">Chat, conversation-history &amp; escalation-request APIs</t>
  </si>
  <si>
    <t xml:space="preserve">4.5</t>
  </si>
  <si>
    <t xml:space="preserve">Escalation queue, agent reply &amp; notification APIs</t>
  </si>
  <si>
    <t xml:space="preserve">S4</t>
  </si>
  <si>
    <t xml:space="preserve">4.6</t>
  </si>
  <si>
    <t xml:space="preserve">Event tracking &amp; analytics APIs</t>
  </si>
  <si>
    <t xml:space="preserve">4.7</t>
  </si>
  <si>
    <t xml:space="preserve">Security hardening</t>
  </si>
  <si>
    <t xml:space="preserve">4.8</t>
  </si>
  <si>
    <t xml:space="preserve">Data retention, deletion &amp; audit logging</t>
  </si>
  <si>
    <t xml:space="preserve">S5</t>
  </si>
  <si>
    <t xml:space="preserve">5</t>
  </si>
  <si>
    <t xml:space="preserve">AI Integration</t>
  </si>
  <si>
    <t xml:space="preserve">5.1</t>
  </si>
  <si>
    <t xml:space="preserve">LLM &amp; embedding evaluation spike</t>
  </si>
  <si>
    <t xml:space="preserve">AI</t>
  </si>
  <si>
    <t xml:space="preserve">AI/ML Engineer</t>
  </si>
  <si>
    <t xml:space="preserve">5.2</t>
  </si>
  <si>
    <t xml:space="preserve">KB ingestion pipeline (chunk, embed, index)</t>
  </si>
  <si>
    <t xml:space="preserve">5.3</t>
  </si>
  <si>
    <t xml:space="preserve">RAG answer service with citations, guardrails &amp; fallback  [M3]</t>
  </si>
  <si>
    <t xml:space="preserve">5.4</t>
  </si>
  <si>
    <t xml:space="preserve">PII redaction &amp; answer-quality tuning</t>
  </si>
  <si>
    <t xml:space="preserve">6</t>
  </si>
  <si>
    <t xml:space="preserve">Database &amp; Data</t>
  </si>
  <si>
    <t xml:space="preserve">6.1</t>
  </si>
  <si>
    <t xml:space="preserve">Data model &amp; schema</t>
  </si>
  <si>
    <t xml:space="preserve">6.2</t>
  </si>
  <si>
    <t xml:space="preserve">Vector store setup &amp; seed KB load</t>
  </si>
  <si>
    <t xml:space="preserve">6.3</t>
  </si>
  <si>
    <t xml:space="preserve">KB content audit &amp; cleanup (with Support SMEs)</t>
  </si>
  <si>
    <t xml:space="preserve">S1-S2</t>
  </si>
  <si>
    <t xml:space="preserve">7</t>
  </si>
  <si>
    <t xml:space="preserve">Frontend</t>
  </si>
  <si>
    <t xml:space="preserve">7.1</t>
  </si>
  <si>
    <t xml:space="preserve">Frontend scaffold &amp; Admin KB UI</t>
  </si>
  <si>
    <t xml:space="preserve">Frontend Developer</t>
  </si>
  <si>
    <t xml:space="preserve">7.2</t>
  </si>
  <si>
    <t xml:space="preserve">Customer chat UI (chat, feedback, history, 'Talk to a person')</t>
  </si>
  <si>
    <t xml:space="preserve">7.3</t>
  </si>
  <si>
    <t xml:space="preserve">Agent console UI</t>
  </si>
  <si>
    <t xml:space="preserve">7.4</t>
  </si>
  <si>
    <t xml:space="preserve">Manager dashboard UI</t>
  </si>
  <si>
    <t xml:space="preserve">8</t>
  </si>
  <si>
    <t xml:space="preserve">Integration</t>
  </si>
  <si>
    <t xml:space="preserve">8.1</t>
  </si>
  <si>
    <t xml:space="preserve">Email provider integration (OTP &amp; notifications)</t>
  </si>
  <si>
    <t xml:space="preserve">8.2</t>
  </si>
  <si>
    <t xml:space="preserve">End-to-end chat integration (UI - API - RAG - DB)  [M4]</t>
  </si>
  <si>
    <t xml:space="preserve">8.3</t>
  </si>
  <si>
    <t xml:space="preserve">Full escalation-flow integration (chat - queue - agent - customer)  [M5]</t>
  </si>
  <si>
    <t xml:space="preserve">9</t>
  </si>
  <si>
    <t xml:space="preserve">Testing &amp; Quality</t>
  </si>
  <si>
    <t xml:space="preserve">9.1</t>
  </si>
  <si>
    <t xml:space="preserve">Test strategy &amp; golden Q&amp;A set</t>
  </si>
  <si>
    <t xml:space="preserve">Testing &amp; QA</t>
  </si>
  <si>
    <t xml:space="preserve">QA Engineer</t>
  </si>
  <si>
    <t xml:space="preserve">9.2</t>
  </si>
  <si>
    <t xml:space="preserve">Sprint QA &amp; AI quality evaluation runs (#1 baseline, #2 post-tuning)</t>
  </si>
  <si>
    <t xml:space="preserve">S3-S4</t>
  </si>
  <si>
    <t xml:space="preserve">9.3</t>
  </si>
  <si>
    <t xml:space="preserve">Security testing</t>
  </si>
  <si>
    <t xml:space="preserve">9.4</t>
  </si>
  <si>
    <t xml:space="preserve">Performance &amp; load testing</t>
  </si>
  <si>
    <t xml:space="preserve">9.5</t>
  </si>
  <si>
    <t xml:space="preserve">UAT preparation</t>
  </si>
  <si>
    <t xml:space="preserve">9.6</t>
  </si>
  <si>
    <t xml:space="preserve">UAT execution &amp; defect fixing  [M6]</t>
  </si>
  <si>
    <t xml:space="preserve">10</t>
  </si>
  <si>
    <t xml:space="preserve">Deployment</t>
  </si>
  <si>
    <t xml:space="preserve">10.1</t>
  </si>
  <si>
    <t xml:space="preserve">Environments &amp; CI/CD pipeline</t>
  </si>
  <si>
    <t xml:space="preserve">Release &amp; Documentation</t>
  </si>
  <si>
    <t xml:space="preserve">DevOps Engineer</t>
  </si>
  <si>
    <t xml:space="preserve">10.2</t>
  </si>
  <si>
    <t xml:space="preserve">Monitoring, alerts &amp; staging release rehearsal</t>
  </si>
  <si>
    <t xml:space="preserve">10.3</t>
  </si>
  <si>
    <t xml:space="preserve">Go / No-Go review  [M7]</t>
  </si>
  <si>
    <t xml:space="preserve">10.4</t>
  </si>
  <si>
    <t xml:space="preserve">Production pilot release  [M8]</t>
  </si>
  <si>
    <t xml:space="preserve">10.5</t>
  </si>
  <si>
    <t xml:space="preserve">Hypercare &amp; monitoring</t>
  </si>
  <si>
    <t xml:space="preserve">11</t>
  </si>
  <si>
    <t xml:space="preserve">Documentation &amp; Training</t>
  </si>
  <si>
    <t xml:space="preserve">11.1</t>
  </si>
  <si>
    <t xml:space="preserve">User guides &amp; training materials</t>
  </si>
  <si>
    <t xml:space="preserve">S4-S5</t>
  </si>
  <si>
    <t xml:space="preserve">11.2</t>
  </si>
  <si>
    <t xml:space="preserve">Technical documentation &amp; runbook</t>
  </si>
  <si>
    <t xml:space="preserve">11.3</t>
  </si>
  <si>
    <t xml:space="preserve">Support team training session</t>
  </si>
  <si>
    <t xml:space="preserve">12</t>
  </si>
  <si>
    <t xml:space="preserve">Closure</t>
  </si>
  <si>
    <t xml:space="preserve">12.1</t>
  </si>
  <si>
    <t xml:space="preserve">Final acceptance &amp; handover to Support Operations</t>
  </si>
  <si>
    <t xml:space="preserve">12.2</t>
  </si>
  <si>
    <t xml:space="preserve">Project Closure Report &amp; lessons learned  [M9]</t>
  </si>
  <si>
    <t xml:space="preserve">MS</t>
  </si>
  <si>
    <t xml:space="preserve">Milestones (diamond marks the date)</t>
  </si>
  <si>
    <t xml:space="preserve">M1</t>
  </si>
  <si>
    <t xml:space="preserve">Project Charter approved</t>
  </si>
  <si>
    <t xml:space="preserve">Milestone</t>
  </si>
  <si>
    <t xml:space="preserve">M2</t>
  </si>
  <si>
    <t xml:space="preserve">Requirements &amp; UX baseline approved</t>
  </si>
  <si>
    <t xml:space="preserve">M3</t>
  </si>
  <si>
    <t xml:space="preserve">Sprint 2 review: KB ingestion + RAG answers demo</t>
  </si>
  <si>
    <t xml:space="preserve">M4</t>
  </si>
  <si>
    <t xml:space="preserve">Sprint 3 review: customer chat + escalation request demo</t>
  </si>
  <si>
    <t xml:space="preserve">M5</t>
  </si>
  <si>
    <t xml:space="preserve">Feature complete / code freeze</t>
  </si>
  <si>
    <t xml:space="preserve">M6</t>
  </si>
  <si>
    <t xml:space="preserve">UAT sign-off</t>
  </si>
  <si>
    <t xml:space="preserve">M7</t>
  </si>
  <si>
    <t xml:space="preserve">Go / No-Go decision</t>
  </si>
  <si>
    <t xml:space="preserve">M8</t>
  </si>
  <si>
    <t xml:space="preserve">Pilot release to production</t>
  </si>
  <si>
    <t xml:space="preserve">M9</t>
  </si>
  <si>
    <t xml:space="preserve">Project closure</t>
  </si>
  <si>
    <t xml:space="preserve">Legend (bar colour = workstream)</t>
  </si>
  <si>
    <t xml:space="preserve">◆</t>
  </si>
  <si>
    <t xml:space="preserve">Milestone (M1-M9; see 07_Project_Timeline)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</si>
</sst>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d"/>
    <numFmt numFmtId="167" formatCode="dd\ mmm"/>
    <numFmt numFmtId="168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7B1E0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2F5597"/>
        <bgColor rgb="FF2F6DB5"/>
      </patternFill>
    </fill>
    <fill>
      <patternFill patternType="solid">
        <fgColor rgb="FF4472C4"/>
        <bgColor rgb="FF2F6DB5"/>
      </patternFill>
    </fill>
    <fill>
      <patternFill patternType="solid">
        <fgColor rgb="FFDCE6F2"/>
        <bgColor rgb="FFD9D9D9"/>
      </patternFill>
    </fill>
    <fill>
      <patternFill patternType="solid">
        <fgColor rgb="FFEEF3FA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5B6B7F"/>
        <bgColor rgb="FF7F7F7F"/>
      </patternFill>
    </fill>
    <fill>
      <patternFill patternType="solid">
        <fgColor rgb="FF8E5BB5"/>
        <bgColor rgb="FF7F7F7F"/>
      </patternFill>
    </fill>
    <fill>
      <patternFill patternType="solid">
        <fgColor rgb="FF2F6DB5"/>
        <bgColor rgb="FF4472C4"/>
      </patternFill>
    </fill>
    <fill>
      <patternFill patternType="solid">
        <fgColor rgb="FF1E9E8E"/>
        <bgColor rgb="FF008080"/>
      </patternFill>
    </fill>
    <fill>
      <patternFill patternType="solid">
        <fgColor rgb="FFE08A1E"/>
        <bgColor rgb="FFFF6600"/>
      </patternFill>
    </fill>
    <fill>
      <patternFill patternType="solid">
        <fgColor rgb="FF4CA64C"/>
        <bgColor rgb="FF1E9E8E"/>
      </patternFill>
    </fill>
    <fill>
      <patternFill patternType="solid">
        <fgColor rgb="FFC0504D"/>
        <bgColor rgb="FF8E5BB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5B6B7F"/>
        </patternFill>
      </fill>
    </dxf>
    <dxf>
      <fill>
        <patternFill>
          <bgColor rgb="FF8E5BB5"/>
        </patternFill>
      </fill>
    </dxf>
    <dxf>
      <fill>
        <patternFill>
          <bgColor rgb="FF2F6DB5"/>
        </patternFill>
      </fill>
    </dxf>
    <dxf>
      <fill>
        <patternFill>
          <bgColor rgb="FF1E9E8E"/>
        </patternFill>
      </fill>
    </dxf>
    <dxf>
      <fill>
        <patternFill>
          <bgColor rgb="FFE08A1E"/>
        </patternFill>
      </fill>
    </dxf>
    <dxf>
      <fill>
        <patternFill>
          <bgColor rgb="FF4CA64C"/>
        </patternFill>
      </fill>
    </dxf>
    <dxf>
      <fill>
        <patternFill>
          <bgColor rgb="FFC0504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4CA64C"/>
      <rgbColor rgb="FF800080"/>
      <rgbColor rgb="FF008080"/>
      <rgbColor rgb="FFBFBFBF"/>
      <rgbColor rgb="FF7F7F7F"/>
      <rgbColor rgb="FF9999FF"/>
      <rgbColor rgb="FFC0504D"/>
      <rgbColor rgb="FFFFF2CC"/>
      <rgbColor rgb="FFEEF3FA"/>
      <rgbColor rgb="FF660066"/>
      <rgbColor rgb="FFFF8080"/>
      <rgbColor rgb="FF2F6DB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E08A1E"/>
      <rgbColor rgb="FFFF6600"/>
      <rgbColor rgb="FF5B6B7F"/>
      <rgbColor rgb="FF969696"/>
      <rgbColor rgb="FF1F3864"/>
      <rgbColor rgb="FF1E9E8E"/>
      <rgbColor rgb="FF003300"/>
      <rgbColor rgb="FF333300"/>
      <rgbColor rgb="FF7B1E00"/>
      <rgbColor rgb="FF8E5BB5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F8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7" topLeftCell="I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6" min="5" style="0" width="9"/>
    <col collapsed="false" customWidth="true" hidden="false" outlineLevel="0" max="7" min="7" style="0" width="6"/>
    <col collapsed="false" customWidth="true" hidden="false" outlineLevel="0" max="8" min="8" style="0" width="8"/>
    <col collapsed="false" customWidth="true" hidden="false" outlineLevel="0" max="58" min="9" style="0" width="3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s">
        <v>2</v>
      </c>
      <c r="B3" s="3"/>
      <c r="C3" s="3"/>
      <c r="D3" s="4" t="n">
        <v>46027</v>
      </c>
      <c r="E3" s="5" t="s">
        <v>3</v>
      </c>
    </row>
    <row r="5" customFormat="false" ht="15" hidden="false" customHeight="false" outlineLevel="0" collapsed="false">
      <c r="A5" s="6" t="s">
        <v>4</v>
      </c>
      <c r="B5" s="6"/>
      <c r="C5" s="6"/>
      <c r="D5" s="6"/>
      <c r="E5" s="6"/>
      <c r="F5" s="6"/>
      <c r="G5" s="6"/>
      <c r="H5" s="6"/>
      <c r="I5" s="7" t="s">
        <v>5</v>
      </c>
      <c r="J5" s="7"/>
      <c r="K5" s="7"/>
      <c r="L5" s="7"/>
      <c r="M5" s="7"/>
      <c r="N5" s="7"/>
      <c r="O5" s="7"/>
      <c r="P5" s="7"/>
      <c r="Q5" s="7"/>
      <c r="R5" s="7"/>
      <c r="S5" s="8" t="s">
        <v>6</v>
      </c>
      <c r="T5" s="8"/>
      <c r="U5" s="8"/>
      <c r="V5" s="8"/>
      <c r="W5" s="8"/>
      <c r="X5" s="8"/>
      <c r="Y5" s="8"/>
      <c r="Z5" s="8"/>
      <c r="AA5" s="8"/>
      <c r="AB5" s="8"/>
      <c r="AC5" s="7" t="s">
        <v>7</v>
      </c>
      <c r="AD5" s="7"/>
      <c r="AE5" s="7"/>
      <c r="AF5" s="7"/>
      <c r="AG5" s="7"/>
      <c r="AH5" s="7"/>
      <c r="AI5" s="7"/>
      <c r="AJ5" s="7"/>
      <c r="AK5" s="7"/>
      <c r="AL5" s="7"/>
      <c r="AM5" s="8" t="s">
        <v>8</v>
      </c>
      <c r="AN5" s="8"/>
      <c r="AO5" s="8"/>
      <c r="AP5" s="8"/>
      <c r="AQ5" s="8"/>
      <c r="AR5" s="8"/>
      <c r="AS5" s="8"/>
      <c r="AT5" s="8"/>
      <c r="AU5" s="8"/>
      <c r="AV5" s="8"/>
      <c r="AW5" s="7" t="s">
        <v>9</v>
      </c>
      <c r="AX5" s="7"/>
      <c r="AY5" s="7"/>
      <c r="AZ5" s="7"/>
      <c r="BA5" s="7"/>
      <c r="BB5" s="7"/>
      <c r="BC5" s="7"/>
      <c r="BD5" s="7"/>
      <c r="BE5" s="7"/>
      <c r="BF5" s="7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9" t="s">
        <v>10</v>
      </c>
      <c r="J6" s="9"/>
      <c r="K6" s="9"/>
      <c r="L6" s="9"/>
      <c r="M6" s="9"/>
      <c r="N6" s="10" t="s">
        <v>11</v>
      </c>
      <c r="O6" s="10"/>
      <c r="P6" s="10"/>
      <c r="Q6" s="10"/>
      <c r="R6" s="10"/>
      <c r="S6" s="9" t="s">
        <v>12</v>
      </c>
      <c r="T6" s="9"/>
      <c r="U6" s="9"/>
      <c r="V6" s="9"/>
      <c r="W6" s="9"/>
      <c r="X6" s="10" t="s">
        <v>13</v>
      </c>
      <c r="Y6" s="10"/>
      <c r="Z6" s="10"/>
      <c r="AA6" s="10"/>
      <c r="AB6" s="10"/>
      <c r="AC6" s="9" t="s">
        <v>14</v>
      </c>
      <c r="AD6" s="9"/>
      <c r="AE6" s="9"/>
      <c r="AF6" s="9"/>
      <c r="AG6" s="9"/>
      <c r="AH6" s="10" t="s">
        <v>15</v>
      </c>
      <c r="AI6" s="10"/>
      <c r="AJ6" s="10"/>
      <c r="AK6" s="10"/>
      <c r="AL6" s="10"/>
      <c r="AM6" s="9" t="s">
        <v>16</v>
      </c>
      <c r="AN6" s="9"/>
      <c r="AO6" s="9"/>
      <c r="AP6" s="9"/>
      <c r="AQ6" s="9"/>
      <c r="AR6" s="10" t="s">
        <v>17</v>
      </c>
      <c r="AS6" s="10"/>
      <c r="AT6" s="10"/>
      <c r="AU6" s="10"/>
      <c r="AV6" s="10"/>
      <c r="AW6" s="9" t="s">
        <v>18</v>
      </c>
      <c r="AX6" s="9"/>
      <c r="AY6" s="9"/>
      <c r="AZ6" s="9"/>
      <c r="BA6" s="9"/>
      <c r="BB6" s="10" t="s">
        <v>19</v>
      </c>
      <c r="BC6" s="10"/>
      <c r="BD6" s="10"/>
      <c r="BE6" s="10"/>
      <c r="BF6" s="10"/>
    </row>
    <row r="7" customFormat="false" ht="15" hidden="false" customHeight="false" outlineLevel="0" collapsed="false">
      <c r="A7" s="11" t="s">
        <v>20</v>
      </c>
      <c r="B7" s="11" t="s">
        <v>21</v>
      </c>
      <c r="C7" s="11" t="s">
        <v>22</v>
      </c>
      <c r="D7" s="11" t="s">
        <v>23</v>
      </c>
      <c r="E7" s="11" t="s">
        <v>24</v>
      </c>
      <c r="F7" s="11" t="s">
        <v>25</v>
      </c>
      <c r="G7" s="11" t="s">
        <v>26</v>
      </c>
      <c r="H7" s="11" t="s">
        <v>27</v>
      </c>
      <c r="I7" s="12" t="n">
        <f aca="false">$D$3</f>
        <v>46027</v>
      </c>
      <c r="J7" s="12" t="n">
        <f aca="false">WORKDAY(I7,1)</f>
        <v>46028</v>
      </c>
      <c r="K7" s="12" t="n">
        <f aca="false">WORKDAY(J7,1)</f>
        <v>46029</v>
      </c>
      <c r="L7" s="12" t="n">
        <f aca="false">WORKDAY(K7,1)</f>
        <v>46030</v>
      </c>
      <c r="M7" s="12" t="n">
        <f aca="false">WORKDAY(L7,1)</f>
        <v>46031</v>
      </c>
      <c r="N7" s="12" t="n">
        <f aca="false">WORKDAY(M7,1)</f>
        <v>46034</v>
      </c>
      <c r="O7" s="12" t="n">
        <f aca="false">WORKDAY(N7,1)</f>
        <v>46035</v>
      </c>
      <c r="P7" s="12" t="n">
        <f aca="false">WORKDAY(O7,1)</f>
        <v>46036</v>
      </c>
      <c r="Q7" s="12" t="n">
        <f aca="false">WORKDAY(P7,1)</f>
        <v>46037</v>
      </c>
      <c r="R7" s="12" t="n">
        <f aca="false">WORKDAY(Q7,1)</f>
        <v>46038</v>
      </c>
      <c r="S7" s="12" t="n">
        <f aca="false">WORKDAY(R7,1)</f>
        <v>46041</v>
      </c>
      <c r="T7" s="12" t="n">
        <f aca="false">WORKDAY(S7,1)</f>
        <v>46042</v>
      </c>
      <c r="U7" s="12" t="n">
        <f aca="false">WORKDAY(T7,1)</f>
        <v>46043</v>
      </c>
      <c r="V7" s="12" t="n">
        <f aca="false">WORKDAY(U7,1)</f>
        <v>46044</v>
      </c>
      <c r="W7" s="12" t="n">
        <f aca="false">WORKDAY(V7,1)</f>
        <v>46045</v>
      </c>
      <c r="X7" s="12" t="n">
        <f aca="false">WORKDAY(W7,1)</f>
        <v>46048</v>
      </c>
      <c r="Y7" s="12" t="n">
        <f aca="false">WORKDAY(X7,1)</f>
        <v>46049</v>
      </c>
      <c r="Z7" s="12" t="n">
        <f aca="false">WORKDAY(Y7,1)</f>
        <v>46050</v>
      </c>
      <c r="AA7" s="12" t="n">
        <f aca="false">WORKDAY(Z7,1)</f>
        <v>46051</v>
      </c>
      <c r="AB7" s="12" t="n">
        <f aca="false">WORKDAY(AA7,1)</f>
        <v>46052</v>
      </c>
      <c r="AC7" s="12" t="n">
        <f aca="false">WORKDAY(AB7,1)</f>
        <v>46055</v>
      </c>
      <c r="AD7" s="12" t="n">
        <f aca="false">WORKDAY(AC7,1)</f>
        <v>46056</v>
      </c>
      <c r="AE7" s="12" t="n">
        <f aca="false">WORKDAY(AD7,1)</f>
        <v>46057</v>
      </c>
      <c r="AF7" s="12" t="n">
        <f aca="false">WORKDAY(AE7,1)</f>
        <v>46058</v>
      </c>
      <c r="AG7" s="12" t="n">
        <f aca="false">WORKDAY(AF7,1)</f>
        <v>46059</v>
      </c>
      <c r="AH7" s="12" t="n">
        <f aca="false">WORKDAY(AG7,1)</f>
        <v>46062</v>
      </c>
      <c r="AI7" s="12" t="n">
        <f aca="false">WORKDAY(AH7,1)</f>
        <v>46063</v>
      </c>
      <c r="AJ7" s="12" t="n">
        <f aca="false">WORKDAY(AI7,1)</f>
        <v>46064</v>
      </c>
      <c r="AK7" s="12" t="n">
        <f aca="false">WORKDAY(AJ7,1)</f>
        <v>46065</v>
      </c>
      <c r="AL7" s="12" t="n">
        <f aca="false">WORKDAY(AK7,1)</f>
        <v>46066</v>
      </c>
      <c r="AM7" s="12" t="n">
        <f aca="false">WORKDAY(AL7,1)</f>
        <v>46069</v>
      </c>
      <c r="AN7" s="12" t="n">
        <f aca="false">WORKDAY(AM7,1)</f>
        <v>46070</v>
      </c>
      <c r="AO7" s="12" t="n">
        <f aca="false">WORKDAY(AN7,1)</f>
        <v>46071</v>
      </c>
      <c r="AP7" s="12" t="n">
        <f aca="false">WORKDAY(AO7,1)</f>
        <v>46072</v>
      </c>
      <c r="AQ7" s="12" t="n">
        <f aca="false">WORKDAY(AP7,1)</f>
        <v>46073</v>
      </c>
      <c r="AR7" s="12" t="n">
        <f aca="false">WORKDAY(AQ7,1)</f>
        <v>46076</v>
      </c>
      <c r="AS7" s="12" t="n">
        <f aca="false">WORKDAY(AR7,1)</f>
        <v>46077</v>
      </c>
      <c r="AT7" s="12" t="n">
        <f aca="false">WORKDAY(AS7,1)</f>
        <v>46078</v>
      </c>
      <c r="AU7" s="12" t="n">
        <f aca="false">WORKDAY(AT7,1)</f>
        <v>46079</v>
      </c>
      <c r="AV7" s="12" t="n">
        <f aca="false">WORKDAY(AU7,1)</f>
        <v>46080</v>
      </c>
      <c r="AW7" s="12" t="n">
        <f aca="false">WORKDAY(AV7,1)</f>
        <v>46083</v>
      </c>
      <c r="AX7" s="12" t="n">
        <f aca="false">WORKDAY(AW7,1)</f>
        <v>46084</v>
      </c>
      <c r="AY7" s="12" t="n">
        <f aca="false">WORKDAY(AX7,1)</f>
        <v>46085</v>
      </c>
      <c r="AZ7" s="12" t="n">
        <f aca="false">WORKDAY(AY7,1)</f>
        <v>46086</v>
      </c>
      <c r="BA7" s="12" t="n">
        <f aca="false">WORKDAY(AZ7,1)</f>
        <v>46087</v>
      </c>
      <c r="BB7" s="12" t="n">
        <f aca="false">WORKDAY(BA7,1)</f>
        <v>46090</v>
      </c>
      <c r="BC7" s="12" t="n">
        <f aca="false">WORKDAY(BB7,1)</f>
        <v>46091</v>
      </c>
      <c r="BD7" s="12" t="n">
        <f aca="false">WORKDAY(BC7,1)</f>
        <v>46092</v>
      </c>
      <c r="BE7" s="12" t="n">
        <f aca="false">WORKDAY(BD7,1)</f>
        <v>46093</v>
      </c>
      <c r="BF7" s="12" t="n">
        <f aca="false">WORKDAY(BE7,1)</f>
        <v>46094</v>
      </c>
    </row>
    <row r="8" customFormat="false" ht="15" hidden="false" customHeight="false" outlineLevel="0" collapsed="false">
      <c r="A8" s="13" t="s">
        <v>28</v>
      </c>
      <c r="B8" s="14" t="s">
        <v>29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customFormat="false" ht="15" hidden="false" customHeight="true" outlineLevel="0" collapsed="false">
      <c r="A9" s="15" t="s">
        <v>30</v>
      </c>
      <c r="B9" s="16" t="s">
        <v>31</v>
      </c>
      <c r="C9" s="17" t="s">
        <v>32</v>
      </c>
      <c r="D9" s="17" t="s">
        <v>33</v>
      </c>
      <c r="E9" s="18" t="n">
        <v>46027</v>
      </c>
      <c r="F9" s="18" t="n">
        <v>46029</v>
      </c>
      <c r="G9" s="19" t="n">
        <f aca="false">NETWORKDAYS(E9,F9)</f>
        <v>3</v>
      </c>
      <c r="H9" s="19" t="s">
        <v>34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</row>
    <row r="10" customFormat="false" ht="24" hidden="false" customHeight="true" outlineLevel="0" collapsed="false">
      <c r="A10" s="15" t="s">
        <v>35</v>
      </c>
      <c r="B10" s="16" t="s">
        <v>36</v>
      </c>
      <c r="C10" s="17" t="s">
        <v>32</v>
      </c>
      <c r="D10" s="17" t="s">
        <v>33</v>
      </c>
      <c r="E10" s="18" t="n">
        <v>46030</v>
      </c>
      <c r="F10" s="18" t="n">
        <v>46036</v>
      </c>
      <c r="G10" s="19" t="n">
        <f aca="false">NETWORKDAYS(E10,F10)</f>
        <v>5</v>
      </c>
      <c r="H10" s="19" t="s">
        <v>34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</row>
    <row r="11" customFormat="false" ht="24" hidden="false" customHeight="true" outlineLevel="0" collapsed="false">
      <c r="A11" s="15" t="s">
        <v>37</v>
      </c>
      <c r="B11" s="16" t="s">
        <v>38</v>
      </c>
      <c r="C11" s="17" t="s">
        <v>32</v>
      </c>
      <c r="D11" s="17" t="s">
        <v>33</v>
      </c>
      <c r="E11" s="18" t="n">
        <v>46030</v>
      </c>
      <c r="F11" s="18" t="n">
        <v>46094</v>
      </c>
      <c r="G11" s="19" t="n">
        <f aca="false">NETWORKDAYS(E11,F11)</f>
        <v>47</v>
      </c>
      <c r="H11" s="19" t="s">
        <v>39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</row>
    <row r="12" customFormat="false" ht="15" hidden="false" customHeight="false" outlineLevel="0" collapsed="false">
      <c r="A12" s="13" t="s">
        <v>40</v>
      </c>
      <c r="B12" s="14" t="s">
        <v>41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customFormat="false" ht="24" hidden="false" customHeight="true" outlineLevel="0" collapsed="false">
      <c r="A13" s="15" t="s">
        <v>42</v>
      </c>
      <c r="B13" s="16" t="s">
        <v>43</v>
      </c>
      <c r="C13" s="17" t="s">
        <v>44</v>
      </c>
      <c r="D13" s="17" t="s">
        <v>45</v>
      </c>
      <c r="E13" s="18" t="n">
        <v>46030</v>
      </c>
      <c r="F13" s="18" t="n">
        <v>46035</v>
      </c>
      <c r="G13" s="19" t="n">
        <f aca="false">NETWORKDAYS(E13,F13)</f>
        <v>4</v>
      </c>
      <c r="H13" s="19" t="s">
        <v>34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</row>
    <row r="14" customFormat="false" ht="15" hidden="false" customHeight="true" outlineLevel="0" collapsed="false">
      <c r="A14" s="15" t="s">
        <v>46</v>
      </c>
      <c r="B14" s="16" t="s">
        <v>47</v>
      </c>
      <c r="C14" s="17" t="s">
        <v>44</v>
      </c>
      <c r="D14" s="17" t="s">
        <v>45</v>
      </c>
      <c r="E14" s="18" t="n">
        <v>46034</v>
      </c>
      <c r="F14" s="18" t="n">
        <v>46038</v>
      </c>
      <c r="G14" s="19" t="n">
        <f aca="false">NETWORKDAYS(E14,F14)</f>
        <v>5</v>
      </c>
      <c r="H14" s="19" t="s">
        <v>34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</row>
    <row r="15" customFormat="false" ht="15" hidden="false" customHeight="false" outlineLevel="0" collapsed="false">
      <c r="A15" s="13" t="s">
        <v>48</v>
      </c>
      <c r="B15" s="14" t="s">
        <v>49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  <row r="16" customFormat="false" ht="15" hidden="false" customHeight="true" outlineLevel="0" collapsed="false">
      <c r="A16" s="15" t="s">
        <v>50</v>
      </c>
      <c r="B16" s="16" t="s">
        <v>51</v>
      </c>
      <c r="C16" s="17" t="s">
        <v>44</v>
      </c>
      <c r="D16" s="17" t="s">
        <v>52</v>
      </c>
      <c r="E16" s="18" t="n">
        <v>46030</v>
      </c>
      <c r="F16" s="18" t="n">
        <v>46035</v>
      </c>
      <c r="G16" s="19" t="n">
        <f aca="false">NETWORKDAYS(E16,F16)</f>
        <v>4</v>
      </c>
      <c r="H16" s="19" t="s">
        <v>34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</row>
    <row r="17" customFormat="false" ht="15" hidden="false" customHeight="true" outlineLevel="0" collapsed="false">
      <c r="A17" s="15" t="s">
        <v>53</v>
      </c>
      <c r="B17" s="16" t="s">
        <v>54</v>
      </c>
      <c r="C17" s="17" t="s">
        <v>44</v>
      </c>
      <c r="D17" s="17" t="s">
        <v>52</v>
      </c>
      <c r="E17" s="18" t="n">
        <v>46034</v>
      </c>
      <c r="F17" s="18" t="n">
        <v>46038</v>
      </c>
      <c r="G17" s="19" t="n">
        <f aca="false">NETWORKDAYS(E17,F17)</f>
        <v>5</v>
      </c>
      <c r="H17" s="19" t="s">
        <v>34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</row>
    <row r="18" customFormat="false" ht="24" hidden="false" customHeight="true" outlineLevel="0" collapsed="false">
      <c r="A18" s="15" t="s">
        <v>55</v>
      </c>
      <c r="B18" s="16" t="s">
        <v>56</v>
      </c>
      <c r="C18" s="17" t="s">
        <v>44</v>
      </c>
      <c r="D18" s="17" t="s">
        <v>52</v>
      </c>
      <c r="E18" s="18" t="n">
        <v>46041</v>
      </c>
      <c r="F18" s="18" t="n">
        <v>46045</v>
      </c>
      <c r="G18" s="19" t="n">
        <f aca="false">NETWORKDAYS(E18,F18)</f>
        <v>5</v>
      </c>
      <c r="H18" s="19" t="s">
        <v>57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</row>
    <row r="19" customFormat="false" ht="15" hidden="false" customHeight="false" outlineLevel="0" collapsed="false">
      <c r="A19" s="13" t="s">
        <v>58</v>
      </c>
      <c r="B19" s="14" t="s">
        <v>59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</row>
    <row r="20" customFormat="false" ht="15" hidden="false" customHeight="true" outlineLevel="0" collapsed="false">
      <c r="A20" s="15" t="s">
        <v>60</v>
      </c>
      <c r="B20" s="16" t="s">
        <v>61</v>
      </c>
      <c r="C20" s="17" t="s">
        <v>62</v>
      </c>
      <c r="D20" s="17" t="s">
        <v>63</v>
      </c>
      <c r="E20" s="18" t="n">
        <v>46034</v>
      </c>
      <c r="F20" s="18" t="n">
        <v>46038</v>
      </c>
      <c r="G20" s="19" t="n">
        <f aca="false">NETWORKDAYS(E20,F20)</f>
        <v>5</v>
      </c>
      <c r="H20" s="19" t="s">
        <v>34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</row>
    <row r="21" customFormat="false" ht="15" hidden="false" customHeight="true" outlineLevel="0" collapsed="false">
      <c r="A21" s="15" t="s">
        <v>64</v>
      </c>
      <c r="B21" s="16" t="s">
        <v>65</v>
      </c>
      <c r="C21" s="17" t="s">
        <v>62</v>
      </c>
      <c r="D21" s="17" t="s">
        <v>63</v>
      </c>
      <c r="E21" s="18" t="n">
        <v>46041</v>
      </c>
      <c r="F21" s="18" t="n">
        <v>46050</v>
      </c>
      <c r="G21" s="19" t="n">
        <f aca="false">NETWORKDAYS(E21,F21)</f>
        <v>8</v>
      </c>
      <c r="H21" s="19" t="s">
        <v>57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</row>
    <row r="22" customFormat="false" ht="15" hidden="false" customHeight="true" outlineLevel="0" collapsed="false">
      <c r="A22" s="15" t="s">
        <v>66</v>
      </c>
      <c r="B22" s="16" t="s">
        <v>67</v>
      </c>
      <c r="C22" s="17" t="s">
        <v>62</v>
      </c>
      <c r="D22" s="17" t="s">
        <v>63</v>
      </c>
      <c r="E22" s="18" t="n">
        <v>46055</v>
      </c>
      <c r="F22" s="18" t="n">
        <v>46059</v>
      </c>
      <c r="G22" s="19" t="n">
        <f aca="false">NETWORKDAYS(E22,F22)</f>
        <v>5</v>
      </c>
      <c r="H22" s="19" t="s">
        <v>68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</row>
    <row r="23" customFormat="false" ht="24" hidden="false" customHeight="true" outlineLevel="0" collapsed="false">
      <c r="A23" s="15" t="s">
        <v>69</v>
      </c>
      <c r="B23" s="16" t="s">
        <v>70</v>
      </c>
      <c r="C23" s="17" t="s">
        <v>62</v>
      </c>
      <c r="D23" s="17" t="s">
        <v>63</v>
      </c>
      <c r="E23" s="18" t="n">
        <v>46055</v>
      </c>
      <c r="F23" s="18" t="n">
        <v>46064</v>
      </c>
      <c r="G23" s="19" t="n">
        <f aca="false">NETWORKDAYS(E23,F23)</f>
        <v>8</v>
      </c>
      <c r="H23" s="19" t="s">
        <v>68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</row>
    <row r="24" customFormat="false" ht="15" hidden="false" customHeight="true" outlineLevel="0" collapsed="false">
      <c r="A24" s="15" t="s">
        <v>71</v>
      </c>
      <c r="B24" s="16" t="s">
        <v>72</v>
      </c>
      <c r="C24" s="17" t="s">
        <v>62</v>
      </c>
      <c r="D24" s="17" t="s">
        <v>63</v>
      </c>
      <c r="E24" s="18" t="n">
        <v>46069</v>
      </c>
      <c r="F24" s="18" t="n">
        <v>46077</v>
      </c>
      <c r="G24" s="19" t="n">
        <f aca="false">NETWORKDAYS(E24,F24)</f>
        <v>7</v>
      </c>
      <c r="H24" s="19" t="s">
        <v>73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</row>
    <row r="25" customFormat="false" ht="15" hidden="false" customHeight="true" outlineLevel="0" collapsed="false">
      <c r="A25" s="15" t="s">
        <v>74</v>
      </c>
      <c r="B25" s="16" t="s">
        <v>75</v>
      </c>
      <c r="C25" s="17" t="s">
        <v>62</v>
      </c>
      <c r="D25" s="17" t="s">
        <v>63</v>
      </c>
      <c r="E25" s="18" t="n">
        <v>46069</v>
      </c>
      <c r="F25" s="18" t="n">
        <v>46072</v>
      </c>
      <c r="G25" s="19" t="n">
        <f aca="false">NETWORKDAYS(E25,F25)</f>
        <v>4</v>
      </c>
      <c r="H25" s="19" t="s">
        <v>73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</row>
    <row r="26" customFormat="false" ht="15" hidden="false" customHeight="true" outlineLevel="0" collapsed="false">
      <c r="A26" s="15" t="s">
        <v>76</v>
      </c>
      <c r="B26" s="16" t="s">
        <v>77</v>
      </c>
      <c r="C26" s="17" t="s">
        <v>62</v>
      </c>
      <c r="D26" s="17" t="s">
        <v>63</v>
      </c>
      <c r="E26" s="18" t="n">
        <v>46069</v>
      </c>
      <c r="F26" s="18" t="n">
        <v>46078</v>
      </c>
      <c r="G26" s="19" t="n">
        <f aca="false">NETWORKDAYS(E26,F26)</f>
        <v>8</v>
      </c>
      <c r="H26" s="19" t="s">
        <v>73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</row>
    <row r="27" customFormat="false" ht="15" hidden="false" customHeight="true" outlineLevel="0" collapsed="false">
      <c r="A27" s="15" t="s">
        <v>78</v>
      </c>
      <c r="B27" s="16" t="s">
        <v>79</v>
      </c>
      <c r="C27" s="17" t="s">
        <v>62</v>
      </c>
      <c r="D27" s="17" t="s">
        <v>63</v>
      </c>
      <c r="E27" s="18" t="n">
        <v>46083</v>
      </c>
      <c r="F27" s="18" t="n">
        <v>46086</v>
      </c>
      <c r="G27" s="19" t="n">
        <f aca="false">NETWORKDAYS(E27,F27)</f>
        <v>4</v>
      </c>
      <c r="H27" s="19" t="s">
        <v>80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</row>
    <row r="28" customFormat="false" ht="15" hidden="false" customHeight="false" outlineLevel="0" collapsed="false">
      <c r="A28" s="13" t="s">
        <v>81</v>
      </c>
      <c r="B28" s="14" t="s">
        <v>82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  <row r="29" customFormat="false" ht="15" hidden="false" customHeight="true" outlineLevel="0" collapsed="false">
      <c r="A29" s="15" t="s">
        <v>83</v>
      </c>
      <c r="B29" s="16" t="s">
        <v>84</v>
      </c>
      <c r="C29" s="17" t="s">
        <v>85</v>
      </c>
      <c r="D29" s="17" t="s">
        <v>86</v>
      </c>
      <c r="E29" s="18" t="n">
        <v>46030</v>
      </c>
      <c r="F29" s="18" t="n">
        <v>46038</v>
      </c>
      <c r="G29" s="19" t="n">
        <f aca="false">NETWORKDAYS(E29,F29)</f>
        <v>7</v>
      </c>
      <c r="H29" s="19" t="s">
        <v>34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</row>
    <row r="30" customFormat="false" ht="15" hidden="false" customHeight="true" outlineLevel="0" collapsed="false">
      <c r="A30" s="15" t="s">
        <v>87</v>
      </c>
      <c r="B30" s="16" t="s">
        <v>88</v>
      </c>
      <c r="C30" s="17" t="s">
        <v>85</v>
      </c>
      <c r="D30" s="17" t="s">
        <v>86</v>
      </c>
      <c r="E30" s="18" t="n">
        <v>46041</v>
      </c>
      <c r="F30" s="18" t="n">
        <v>46049</v>
      </c>
      <c r="G30" s="19" t="n">
        <f aca="false">NETWORKDAYS(E30,F30)</f>
        <v>7</v>
      </c>
      <c r="H30" s="19" t="s">
        <v>57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</row>
    <row r="31" customFormat="false" ht="24" hidden="false" customHeight="true" outlineLevel="0" collapsed="false">
      <c r="A31" s="15" t="s">
        <v>89</v>
      </c>
      <c r="B31" s="16" t="s">
        <v>90</v>
      </c>
      <c r="C31" s="17" t="s">
        <v>85</v>
      </c>
      <c r="D31" s="17" t="s">
        <v>86</v>
      </c>
      <c r="E31" s="18" t="n">
        <v>46044</v>
      </c>
      <c r="F31" s="18" t="n">
        <v>46052</v>
      </c>
      <c r="G31" s="19" t="n">
        <f aca="false">NETWORKDAYS(E31,F31)</f>
        <v>7</v>
      </c>
      <c r="H31" s="19" t="s">
        <v>57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</row>
    <row r="32" customFormat="false" ht="15" hidden="false" customHeight="true" outlineLevel="0" collapsed="false">
      <c r="A32" s="15" t="s">
        <v>91</v>
      </c>
      <c r="B32" s="16" t="s">
        <v>92</v>
      </c>
      <c r="C32" s="17" t="s">
        <v>85</v>
      </c>
      <c r="D32" s="17" t="s">
        <v>86</v>
      </c>
      <c r="E32" s="18" t="n">
        <v>46055</v>
      </c>
      <c r="F32" s="18" t="n">
        <v>46064</v>
      </c>
      <c r="G32" s="19" t="n">
        <f aca="false">NETWORKDAYS(E32,F32)</f>
        <v>8</v>
      </c>
      <c r="H32" s="19" t="s">
        <v>68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</row>
    <row r="33" customFormat="false" ht="15" hidden="false" customHeight="false" outlineLevel="0" collapsed="false">
      <c r="A33" s="13" t="s">
        <v>93</v>
      </c>
      <c r="B33" s="14" t="s">
        <v>94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</row>
    <row r="34" customFormat="false" ht="15" hidden="false" customHeight="true" outlineLevel="0" collapsed="false">
      <c r="A34" s="15" t="s">
        <v>95</v>
      </c>
      <c r="B34" s="16" t="s">
        <v>96</v>
      </c>
      <c r="C34" s="17" t="s">
        <v>62</v>
      </c>
      <c r="D34" s="17" t="s">
        <v>63</v>
      </c>
      <c r="E34" s="18" t="n">
        <v>46034</v>
      </c>
      <c r="F34" s="18" t="n">
        <v>46038</v>
      </c>
      <c r="G34" s="19" t="n">
        <f aca="false">NETWORKDAYS(E34,F34)</f>
        <v>5</v>
      </c>
      <c r="H34" s="19" t="s">
        <v>34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</row>
    <row r="35" customFormat="false" ht="15" hidden="false" customHeight="true" outlineLevel="0" collapsed="false">
      <c r="A35" s="15" t="s">
        <v>97</v>
      </c>
      <c r="B35" s="16" t="s">
        <v>98</v>
      </c>
      <c r="C35" s="17" t="s">
        <v>62</v>
      </c>
      <c r="D35" s="17" t="s">
        <v>86</v>
      </c>
      <c r="E35" s="18" t="n">
        <v>46041</v>
      </c>
      <c r="F35" s="18" t="n">
        <v>46045</v>
      </c>
      <c r="G35" s="19" t="n">
        <f aca="false">NETWORKDAYS(E35,F35)</f>
        <v>5</v>
      </c>
      <c r="H35" s="19" t="s">
        <v>57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</row>
    <row r="36" customFormat="false" ht="15" hidden="false" customHeight="true" outlineLevel="0" collapsed="false">
      <c r="A36" s="15" t="s">
        <v>99</v>
      </c>
      <c r="B36" s="16" t="s">
        <v>100</v>
      </c>
      <c r="C36" s="17" t="s">
        <v>62</v>
      </c>
      <c r="D36" s="17" t="s">
        <v>45</v>
      </c>
      <c r="E36" s="18" t="n">
        <v>46034</v>
      </c>
      <c r="F36" s="18" t="n">
        <v>46052</v>
      </c>
      <c r="G36" s="19" t="n">
        <f aca="false">NETWORKDAYS(E36,F36)</f>
        <v>15</v>
      </c>
      <c r="H36" s="19" t="s">
        <v>101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</row>
    <row r="37" customFormat="false" ht="15" hidden="false" customHeight="false" outlineLevel="0" collapsed="false">
      <c r="A37" s="13" t="s">
        <v>102</v>
      </c>
      <c r="B37" s="14" t="s">
        <v>103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</row>
    <row r="38" customFormat="false" ht="15" hidden="false" customHeight="true" outlineLevel="0" collapsed="false">
      <c r="A38" s="15" t="s">
        <v>104</v>
      </c>
      <c r="B38" s="16" t="s">
        <v>105</v>
      </c>
      <c r="C38" s="17" t="s">
        <v>103</v>
      </c>
      <c r="D38" s="17" t="s">
        <v>106</v>
      </c>
      <c r="E38" s="18" t="n">
        <v>46041</v>
      </c>
      <c r="F38" s="18" t="n">
        <v>46052</v>
      </c>
      <c r="G38" s="19" t="n">
        <f aca="false">NETWORKDAYS(E38,F38)</f>
        <v>10</v>
      </c>
      <c r="H38" s="19" t="s">
        <v>57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</row>
    <row r="39" customFormat="false" ht="24" hidden="false" customHeight="true" outlineLevel="0" collapsed="false">
      <c r="A39" s="15" t="s">
        <v>107</v>
      </c>
      <c r="B39" s="16" t="s">
        <v>108</v>
      </c>
      <c r="C39" s="17" t="s">
        <v>103</v>
      </c>
      <c r="D39" s="17" t="s">
        <v>106</v>
      </c>
      <c r="E39" s="18" t="n">
        <v>46055</v>
      </c>
      <c r="F39" s="18" t="n">
        <v>46066</v>
      </c>
      <c r="G39" s="19" t="n">
        <f aca="false">NETWORKDAYS(E39,F39)</f>
        <v>10</v>
      </c>
      <c r="H39" s="19" t="s">
        <v>68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</row>
    <row r="40" customFormat="false" ht="15" hidden="false" customHeight="true" outlineLevel="0" collapsed="false">
      <c r="A40" s="15" t="s">
        <v>109</v>
      </c>
      <c r="B40" s="16" t="s">
        <v>110</v>
      </c>
      <c r="C40" s="17" t="s">
        <v>103</v>
      </c>
      <c r="D40" s="17" t="s">
        <v>106</v>
      </c>
      <c r="E40" s="18" t="n">
        <v>46069</v>
      </c>
      <c r="F40" s="18" t="n">
        <v>46078</v>
      </c>
      <c r="G40" s="19" t="n">
        <f aca="false">NETWORKDAYS(E40,F40)</f>
        <v>8</v>
      </c>
      <c r="H40" s="19" t="s">
        <v>73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</row>
    <row r="41" customFormat="false" ht="15" hidden="false" customHeight="true" outlineLevel="0" collapsed="false">
      <c r="A41" s="15" t="s">
        <v>111</v>
      </c>
      <c r="B41" s="16" t="s">
        <v>112</v>
      </c>
      <c r="C41" s="17" t="s">
        <v>103</v>
      </c>
      <c r="D41" s="17" t="s">
        <v>106</v>
      </c>
      <c r="E41" s="18" t="n">
        <v>46073</v>
      </c>
      <c r="F41" s="18" t="n">
        <v>46080</v>
      </c>
      <c r="G41" s="19" t="n">
        <f aca="false">NETWORKDAYS(E41,F41)</f>
        <v>6</v>
      </c>
      <c r="H41" s="19" t="s">
        <v>73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</row>
    <row r="42" customFormat="false" ht="15" hidden="false" customHeight="false" outlineLevel="0" collapsed="false">
      <c r="A42" s="13" t="s">
        <v>113</v>
      </c>
      <c r="B42" s="14" t="s">
        <v>114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</row>
    <row r="43" customFormat="false" ht="15" hidden="false" customHeight="true" outlineLevel="0" collapsed="false">
      <c r="A43" s="15" t="s">
        <v>115</v>
      </c>
      <c r="B43" s="16" t="s">
        <v>116</v>
      </c>
      <c r="C43" s="17" t="s">
        <v>62</v>
      </c>
      <c r="D43" s="17" t="s">
        <v>63</v>
      </c>
      <c r="E43" s="18" t="n">
        <v>46055</v>
      </c>
      <c r="F43" s="18" t="n">
        <v>46057</v>
      </c>
      <c r="G43" s="19" t="n">
        <f aca="false">NETWORKDAYS(E43,F43)</f>
        <v>3</v>
      </c>
      <c r="H43" s="19" t="s">
        <v>68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</row>
    <row r="44" customFormat="false" ht="15" hidden="false" customHeight="true" outlineLevel="0" collapsed="false">
      <c r="A44" s="15" t="s">
        <v>117</v>
      </c>
      <c r="B44" s="16" t="s">
        <v>118</v>
      </c>
      <c r="C44" s="17" t="s">
        <v>62</v>
      </c>
      <c r="D44" s="17" t="s">
        <v>63</v>
      </c>
      <c r="E44" s="18" t="n">
        <v>46062</v>
      </c>
      <c r="F44" s="18" t="n">
        <v>46066</v>
      </c>
      <c r="G44" s="19" t="n">
        <f aca="false">NETWORKDAYS(E44,F44)</f>
        <v>5</v>
      </c>
      <c r="H44" s="19" t="s">
        <v>68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</row>
    <row r="45" customFormat="false" ht="24" hidden="false" customHeight="true" outlineLevel="0" collapsed="false">
      <c r="A45" s="15" t="s">
        <v>119</v>
      </c>
      <c r="B45" s="16" t="s">
        <v>120</v>
      </c>
      <c r="C45" s="17" t="s">
        <v>62</v>
      </c>
      <c r="D45" s="17" t="s">
        <v>63</v>
      </c>
      <c r="E45" s="18" t="n">
        <v>46077</v>
      </c>
      <c r="F45" s="18" t="n">
        <v>46080</v>
      </c>
      <c r="G45" s="19" t="n">
        <f aca="false">NETWORKDAYS(E45,F45)</f>
        <v>4</v>
      </c>
      <c r="H45" s="19" t="s">
        <v>73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</row>
    <row r="46" customFormat="false" ht="15" hidden="false" customHeight="false" outlineLevel="0" collapsed="false">
      <c r="A46" s="13" t="s">
        <v>121</v>
      </c>
      <c r="B46" s="14" t="s">
        <v>122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</row>
    <row r="47" customFormat="false" ht="15" hidden="false" customHeight="true" outlineLevel="0" collapsed="false">
      <c r="A47" s="15" t="s">
        <v>123</v>
      </c>
      <c r="B47" s="16" t="s">
        <v>124</v>
      </c>
      <c r="C47" s="17" t="s">
        <v>125</v>
      </c>
      <c r="D47" s="17" t="s">
        <v>126</v>
      </c>
      <c r="E47" s="18" t="n">
        <v>46041</v>
      </c>
      <c r="F47" s="18" t="n">
        <v>46052</v>
      </c>
      <c r="G47" s="19" t="n">
        <f aca="false">NETWORKDAYS(E47,F47)</f>
        <v>10</v>
      </c>
      <c r="H47" s="19" t="s">
        <v>57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</row>
    <row r="48" customFormat="false" ht="24" hidden="false" customHeight="true" outlineLevel="0" collapsed="false">
      <c r="A48" s="15" t="s">
        <v>127</v>
      </c>
      <c r="B48" s="16" t="s">
        <v>128</v>
      </c>
      <c r="C48" s="17" t="s">
        <v>125</v>
      </c>
      <c r="D48" s="17" t="s">
        <v>126</v>
      </c>
      <c r="E48" s="18" t="n">
        <v>46062</v>
      </c>
      <c r="F48" s="18" t="n">
        <v>46080</v>
      </c>
      <c r="G48" s="19" t="n">
        <f aca="false">NETWORKDAYS(E48,F48)</f>
        <v>15</v>
      </c>
      <c r="H48" s="19" t="s">
        <v>129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</row>
    <row r="49" customFormat="false" ht="15" hidden="false" customHeight="true" outlineLevel="0" collapsed="false">
      <c r="A49" s="15" t="s">
        <v>130</v>
      </c>
      <c r="B49" s="16" t="s">
        <v>131</v>
      </c>
      <c r="C49" s="17" t="s">
        <v>125</v>
      </c>
      <c r="D49" s="17" t="s">
        <v>126</v>
      </c>
      <c r="E49" s="18" t="n">
        <v>46076</v>
      </c>
      <c r="F49" s="18" t="n">
        <v>46080</v>
      </c>
      <c r="G49" s="19" t="n">
        <f aca="false">NETWORKDAYS(E49,F49)</f>
        <v>5</v>
      </c>
      <c r="H49" s="19" t="s">
        <v>73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</row>
    <row r="50" customFormat="false" ht="15" hidden="false" customHeight="true" outlineLevel="0" collapsed="false">
      <c r="A50" s="15" t="s">
        <v>132</v>
      </c>
      <c r="B50" s="16" t="s">
        <v>133</v>
      </c>
      <c r="C50" s="17" t="s">
        <v>125</v>
      </c>
      <c r="D50" s="17" t="s">
        <v>126</v>
      </c>
      <c r="E50" s="18" t="n">
        <v>46083</v>
      </c>
      <c r="F50" s="18" t="n">
        <v>46085</v>
      </c>
      <c r="G50" s="19" t="n">
        <f aca="false">NETWORKDAYS(E50,F50)</f>
        <v>3</v>
      </c>
      <c r="H50" s="19" t="s">
        <v>80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</row>
    <row r="51" customFormat="false" ht="15" hidden="false" customHeight="true" outlineLevel="0" collapsed="false">
      <c r="A51" s="15" t="s">
        <v>134</v>
      </c>
      <c r="B51" s="16" t="s">
        <v>135</v>
      </c>
      <c r="C51" s="17" t="s">
        <v>125</v>
      </c>
      <c r="D51" s="17" t="s">
        <v>126</v>
      </c>
      <c r="E51" s="18" t="n">
        <v>46076</v>
      </c>
      <c r="F51" s="18" t="n">
        <v>46080</v>
      </c>
      <c r="G51" s="19" t="n">
        <f aca="false">NETWORKDAYS(E51,F51)</f>
        <v>5</v>
      </c>
      <c r="H51" s="19" t="s">
        <v>73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</row>
    <row r="52" customFormat="false" ht="15" hidden="false" customHeight="true" outlineLevel="0" collapsed="false">
      <c r="A52" s="15" t="s">
        <v>136</v>
      </c>
      <c r="B52" s="16" t="s">
        <v>137</v>
      </c>
      <c r="C52" s="17" t="s">
        <v>125</v>
      </c>
      <c r="D52" s="17" t="s">
        <v>126</v>
      </c>
      <c r="E52" s="18" t="n">
        <v>46083</v>
      </c>
      <c r="F52" s="18" t="n">
        <v>46087</v>
      </c>
      <c r="G52" s="19" t="n">
        <f aca="false">NETWORKDAYS(E52,F52)</f>
        <v>5</v>
      </c>
      <c r="H52" s="19" t="s">
        <v>80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</row>
    <row r="53" customFormat="false" ht="15" hidden="false" customHeight="false" outlineLevel="0" collapsed="false">
      <c r="A53" s="13" t="s">
        <v>138</v>
      </c>
      <c r="B53" s="14" t="s">
        <v>139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</row>
    <row r="54" customFormat="false" ht="15" hidden="false" customHeight="true" outlineLevel="0" collapsed="false">
      <c r="A54" s="15" t="s">
        <v>140</v>
      </c>
      <c r="B54" s="16" t="s">
        <v>141</v>
      </c>
      <c r="C54" s="17" t="s">
        <v>142</v>
      </c>
      <c r="D54" s="17" t="s">
        <v>143</v>
      </c>
      <c r="E54" s="18" t="n">
        <v>46030</v>
      </c>
      <c r="F54" s="18" t="n">
        <v>46038</v>
      </c>
      <c r="G54" s="19" t="n">
        <f aca="false">NETWORKDAYS(E54,F54)</f>
        <v>7</v>
      </c>
      <c r="H54" s="19" t="s">
        <v>34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</row>
    <row r="55" customFormat="false" ht="15" hidden="false" customHeight="true" outlineLevel="0" collapsed="false">
      <c r="A55" s="15" t="s">
        <v>144</v>
      </c>
      <c r="B55" s="16" t="s">
        <v>145</v>
      </c>
      <c r="C55" s="17" t="s">
        <v>142</v>
      </c>
      <c r="D55" s="17" t="s">
        <v>143</v>
      </c>
      <c r="E55" s="18" t="n">
        <v>46083</v>
      </c>
      <c r="F55" s="18" t="n">
        <v>46087</v>
      </c>
      <c r="G55" s="19" t="n">
        <f aca="false">NETWORKDAYS(E55,F55)</f>
        <v>5</v>
      </c>
      <c r="H55" s="19" t="s">
        <v>80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</row>
    <row r="56" customFormat="false" ht="15" hidden="false" customHeight="true" outlineLevel="0" collapsed="false">
      <c r="A56" s="15" t="s">
        <v>146</v>
      </c>
      <c r="B56" s="16" t="s">
        <v>147</v>
      </c>
      <c r="C56" s="17" t="s">
        <v>142</v>
      </c>
      <c r="D56" s="17" t="s">
        <v>33</v>
      </c>
      <c r="E56" s="18" t="n">
        <v>46090</v>
      </c>
      <c r="F56" s="18" t="n">
        <v>46090</v>
      </c>
      <c r="G56" s="19" t="n">
        <f aca="false">NETWORKDAYS(E56,F56)</f>
        <v>1</v>
      </c>
      <c r="H56" s="19" t="s">
        <v>80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</row>
    <row r="57" customFormat="false" ht="15" hidden="false" customHeight="true" outlineLevel="0" collapsed="false">
      <c r="A57" s="15" t="s">
        <v>148</v>
      </c>
      <c r="B57" s="16" t="s">
        <v>149</v>
      </c>
      <c r="C57" s="17" t="s">
        <v>142</v>
      </c>
      <c r="D57" s="17" t="s">
        <v>143</v>
      </c>
      <c r="E57" s="18" t="n">
        <v>46091</v>
      </c>
      <c r="F57" s="18" t="n">
        <v>46092</v>
      </c>
      <c r="G57" s="19" t="n">
        <f aca="false">NETWORKDAYS(E57,F57)</f>
        <v>2</v>
      </c>
      <c r="H57" s="19" t="s">
        <v>80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</row>
    <row r="58" customFormat="false" ht="15" hidden="false" customHeight="true" outlineLevel="0" collapsed="false">
      <c r="A58" s="15" t="s">
        <v>150</v>
      </c>
      <c r="B58" s="16" t="s">
        <v>151</v>
      </c>
      <c r="C58" s="17" t="s">
        <v>142</v>
      </c>
      <c r="D58" s="17" t="s">
        <v>143</v>
      </c>
      <c r="E58" s="18" t="n">
        <v>46092</v>
      </c>
      <c r="F58" s="18" t="n">
        <v>46094</v>
      </c>
      <c r="G58" s="19" t="n">
        <f aca="false">NETWORKDAYS(E58,F58)</f>
        <v>3</v>
      </c>
      <c r="H58" s="19" t="s">
        <v>80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</row>
    <row r="59" customFormat="false" ht="15" hidden="false" customHeight="false" outlineLevel="0" collapsed="false">
      <c r="A59" s="13" t="s">
        <v>152</v>
      </c>
      <c r="B59" s="14" t="s">
        <v>153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</row>
    <row r="60" customFormat="false" ht="15" hidden="false" customHeight="true" outlineLevel="0" collapsed="false">
      <c r="A60" s="15" t="s">
        <v>154</v>
      </c>
      <c r="B60" s="16" t="s">
        <v>155</v>
      </c>
      <c r="C60" s="17" t="s">
        <v>142</v>
      </c>
      <c r="D60" s="17" t="s">
        <v>45</v>
      </c>
      <c r="E60" s="18" t="n">
        <v>46076</v>
      </c>
      <c r="F60" s="18" t="n">
        <v>46087</v>
      </c>
      <c r="G60" s="19" t="n">
        <f aca="false">NETWORKDAYS(E60,F60)</f>
        <v>10</v>
      </c>
      <c r="H60" s="19" t="s">
        <v>156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</row>
    <row r="61" customFormat="false" ht="15" hidden="false" customHeight="true" outlineLevel="0" collapsed="false">
      <c r="A61" s="15" t="s">
        <v>157</v>
      </c>
      <c r="B61" s="16" t="s">
        <v>158</v>
      </c>
      <c r="C61" s="17" t="s">
        <v>142</v>
      </c>
      <c r="D61" s="17" t="s">
        <v>63</v>
      </c>
      <c r="E61" s="18" t="n">
        <v>46083</v>
      </c>
      <c r="F61" s="18" t="n">
        <v>46087</v>
      </c>
      <c r="G61" s="19" t="n">
        <f aca="false">NETWORKDAYS(E61,F61)</f>
        <v>5</v>
      </c>
      <c r="H61" s="19" t="s">
        <v>80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</row>
    <row r="62" customFormat="false" ht="15" hidden="false" customHeight="true" outlineLevel="0" collapsed="false">
      <c r="A62" s="15" t="s">
        <v>159</v>
      </c>
      <c r="B62" s="16" t="s">
        <v>160</v>
      </c>
      <c r="C62" s="17" t="s">
        <v>142</v>
      </c>
      <c r="D62" s="17" t="s">
        <v>45</v>
      </c>
      <c r="E62" s="18" t="n">
        <v>46090</v>
      </c>
      <c r="F62" s="18" t="n">
        <v>46091</v>
      </c>
      <c r="G62" s="19" t="n">
        <f aca="false">NETWORKDAYS(E62,F62)</f>
        <v>2</v>
      </c>
      <c r="H62" s="19" t="s">
        <v>80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</row>
    <row r="63" customFormat="false" ht="15" hidden="false" customHeight="false" outlineLevel="0" collapsed="false">
      <c r="A63" s="13" t="s">
        <v>161</v>
      </c>
      <c r="B63" s="14" t="s">
        <v>162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</row>
    <row r="64" customFormat="false" ht="15" hidden="false" customHeight="true" outlineLevel="0" collapsed="false">
      <c r="A64" s="15" t="s">
        <v>163</v>
      </c>
      <c r="B64" s="16" t="s">
        <v>164</v>
      </c>
      <c r="C64" s="17" t="s">
        <v>32</v>
      </c>
      <c r="D64" s="17" t="s">
        <v>33</v>
      </c>
      <c r="E64" s="18" t="n">
        <v>46092</v>
      </c>
      <c r="F64" s="18" t="n">
        <v>46093</v>
      </c>
      <c r="G64" s="19" t="n">
        <f aca="false">NETWORKDAYS(E64,F64)</f>
        <v>2</v>
      </c>
      <c r="H64" s="19" t="s">
        <v>80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</row>
    <row r="65" customFormat="false" ht="15" hidden="false" customHeight="true" outlineLevel="0" collapsed="false">
      <c r="A65" s="15" t="s">
        <v>165</v>
      </c>
      <c r="B65" s="16" t="s">
        <v>166</v>
      </c>
      <c r="C65" s="17" t="s">
        <v>32</v>
      </c>
      <c r="D65" s="17" t="s">
        <v>33</v>
      </c>
      <c r="E65" s="18" t="n">
        <v>46093</v>
      </c>
      <c r="F65" s="18" t="n">
        <v>46094</v>
      </c>
      <c r="G65" s="19" t="n">
        <f aca="false">NETWORKDAYS(E65,F65)</f>
        <v>2</v>
      </c>
      <c r="H65" s="19" t="s">
        <v>80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</row>
    <row r="67" customFormat="false" ht="15" hidden="false" customHeight="false" outlineLevel="0" collapsed="false">
      <c r="A67" s="21" t="s">
        <v>167</v>
      </c>
      <c r="B67" s="21" t="s">
        <v>168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</row>
    <row r="68" customFormat="false" ht="15.75" hidden="false" customHeight="true" outlineLevel="0" collapsed="false">
      <c r="A68" s="15" t="s">
        <v>169</v>
      </c>
      <c r="B68" s="17" t="s">
        <v>170</v>
      </c>
      <c r="C68" s="19" t="s">
        <v>171</v>
      </c>
      <c r="D68" s="19"/>
      <c r="E68" s="18" t="n">
        <v>46029</v>
      </c>
      <c r="F68" s="18" t="n">
        <v>46029</v>
      </c>
      <c r="G68" s="19"/>
      <c r="H68" s="19" t="s">
        <v>34</v>
      </c>
      <c r="I68" s="22" t="str">
        <f aca="false">IF(I$7=$E68,"◆","")</f>
        <v/>
      </c>
      <c r="J68" s="22" t="str">
        <f aca="false">IF(J$7=$E68,"◆","")</f>
        <v/>
      </c>
      <c r="K68" s="22" t="str">
        <f aca="false">IF(K$7=$E68,"◆","")</f>
        <v>◆</v>
      </c>
      <c r="L68" s="22" t="str">
        <f aca="false">IF(L$7=$E68,"◆","")</f>
        <v/>
      </c>
      <c r="M68" s="22" t="str">
        <f aca="false">IF(M$7=$E68,"◆","")</f>
        <v/>
      </c>
      <c r="N68" s="22" t="str">
        <f aca="false">IF(N$7=$E68,"◆","")</f>
        <v/>
      </c>
      <c r="O68" s="22" t="str">
        <f aca="false">IF(O$7=$E68,"◆","")</f>
        <v/>
      </c>
      <c r="P68" s="22" t="str">
        <f aca="false">IF(P$7=$E68,"◆","")</f>
        <v/>
      </c>
      <c r="Q68" s="22" t="str">
        <f aca="false">IF(Q$7=$E68,"◆","")</f>
        <v/>
      </c>
      <c r="R68" s="22" t="str">
        <f aca="false">IF(R$7=$E68,"◆","")</f>
        <v/>
      </c>
      <c r="S68" s="22" t="str">
        <f aca="false">IF(S$7=$E68,"◆","")</f>
        <v/>
      </c>
      <c r="T68" s="22" t="str">
        <f aca="false">IF(T$7=$E68,"◆","")</f>
        <v/>
      </c>
      <c r="U68" s="22" t="str">
        <f aca="false">IF(U$7=$E68,"◆","")</f>
        <v/>
      </c>
      <c r="V68" s="22" t="str">
        <f aca="false">IF(V$7=$E68,"◆","")</f>
        <v/>
      </c>
      <c r="W68" s="22" t="str">
        <f aca="false">IF(W$7=$E68,"◆","")</f>
        <v/>
      </c>
      <c r="X68" s="22" t="str">
        <f aca="false">IF(X$7=$E68,"◆","")</f>
        <v/>
      </c>
      <c r="Y68" s="22" t="str">
        <f aca="false">IF(Y$7=$E68,"◆","")</f>
        <v/>
      </c>
      <c r="Z68" s="22" t="str">
        <f aca="false">IF(Z$7=$E68,"◆","")</f>
        <v/>
      </c>
      <c r="AA68" s="22" t="str">
        <f aca="false">IF(AA$7=$E68,"◆","")</f>
        <v/>
      </c>
      <c r="AB68" s="22" t="str">
        <f aca="false">IF(AB$7=$E68,"◆","")</f>
        <v/>
      </c>
      <c r="AC68" s="22" t="str">
        <f aca="false">IF(AC$7=$E68,"◆","")</f>
        <v/>
      </c>
      <c r="AD68" s="22" t="str">
        <f aca="false">IF(AD$7=$E68,"◆","")</f>
        <v/>
      </c>
      <c r="AE68" s="22" t="str">
        <f aca="false">IF(AE$7=$E68,"◆","")</f>
        <v/>
      </c>
      <c r="AF68" s="22" t="str">
        <f aca="false">IF(AF$7=$E68,"◆","")</f>
        <v/>
      </c>
      <c r="AG68" s="22" t="str">
        <f aca="false">IF(AG$7=$E68,"◆","")</f>
        <v/>
      </c>
      <c r="AH68" s="22" t="str">
        <f aca="false">IF(AH$7=$E68,"◆","")</f>
        <v/>
      </c>
      <c r="AI68" s="22" t="str">
        <f aca="false">IF(AI$7=$E68,"◆","")</f>
        <v/>
      </c>
      <c r="AJ68" s="22" t="str">
        <f aca="false">IF(AJ$7=$E68,"◆","")</f>
        <v/>
      </c>
      <c r="AK68" s="22" t="str">
        <f aca="false">IF(AK$7=$E68,"◆","")</f>
        <v/>
      </c>
      <c r="AL68" s="22" t="str">
        <f aca="false">IF(AL$7=$E68,"◆","")</f>
        <v/>
      </c>
      <c r="AM68" s="22" t="str">
        <f aca="false">IF(AM$7=$E68,"◆","")</f>
        <v/>
      </c>
      <c r="AN68" s="22" t="str">
        <f aca="false">IF(AN$7=$E68,"◆","")</f>
        <v/>
      </c>
      <c r="AO68" s="22" t="str">
        <f aca="false">IF(AO$7=$E68,"◆","")</f>
        <v/>
      </c>
      <c r="AP68" s="22" t="str">
        <f aca="false">IF(AP$7=$E68,"◆","")</f>
        <v/>
      </c>
      <c r="AQ68" s="22" t="str">
        <f aca="false">IF(AQ$7=$E68,"◆","")</f>
        <v/>
      </c>
      <c r="AR68" s="22" t="str">
        <f aca="false">IF(AR$7=$E68,"◆","")</f>
        <v/>
      </c>
      <c r="AS68" s="22" t="str">
        <f aca="false">IF(AS$7=$E68,"◆","")</f>
        <v/>
      </c>
      <c r="AT68" s="22" t="str">
        <f aca="false">IF(AT$7=$E68,"◆","")</f>
        <v/>
      </c>
      <c r="AU68" s="22" t="str">
        <f aca="false">IF(AU$7=$E68,"◆","")</f>
        <v/>
      </c>
      <c r="AV68" s="22" t="str">
        <f aca="false">IF(AV$7=$E68,"◆","")</f>
        <v/>
      </c>
      <c r="AW68" s="22" t="str">
        <f aca="false">IF(AW$7=$E68,"◆","")</f>
        <v/>
      </c>
      <c r="AX68" s="22" t="str">
        <f aca="false">IF(AX$7=$E68,"◆","")</f>
        <v/>
      </c>
      <c r="AY68" s="22" t="str">
        <f aca="false">IF(AY$7=$E68,"◆","")</f>
        <v/>
      </c>
      <c r="AZ68" s="22" t="str">
        <f aca="false">IF(AZ$7=$E68,"◆","")</f>
        <v/>
      </c>
      <c r="BA68" s="22" t="str">
        <f aca="false">IF(BA$7=$E68,"◆","")</f>
        <v/>
      </c>
      <c r="BB68" s="22" t="str">
        <f aca="false">IF(BB$7=$E68,"◆","")</f>
        <v/>
      </c>
      <c r="BC68" s="22" t="str">
        <f aca="false">IF(BC$7=$E68,"◆","")</f>
        <v/>
      </c>
      <c r="BD68" s="22" t="str">
        <f aca="false">IF(BD$7=$E68,"◆","")</f>
        <v/>
      </c>
      <c r="BE68" s="22" t="str">
        <f aca="false">IF(BE$7=$E68,"◆","")</f>
        <v/>
      </c>
      <c r="BF68" s="22" t="str">
        <f aca="false">IF(BF$7=$E68,"◆","")</f>
        <v/>
      </c>
    </row>
    <row r="69" customFormat="false" ht="15.75" hidden="false" customHeight="true" outlineLevel="0" collapsed="false">
      <c r="A69" s="15" t="s">
        <v>172</v>
      </c>
      <c r="B69" s="17" t="s">
        <v>173</v>
      </c>
      <c r="C69" s="19" t="s">
        <v>171</v>
      </c>
      <c r="D69" s="19"/>
      <c r="E69" s="18" t="n">
        <v>46038</v>
      </c>
      <c r="F69" s="18" t="n">
        <v>46038</v>
      </c>
      <c r="G69" s="19"/>
      <c r="H69" s="19" t="s">
        <v>34</v>
      </c>
      <c r="I69" s="22" t="str">
        <f aca="false">IF(I$7=$E69,"◆","")</f>
        <v/>
      </c>
      <c r="J69" s="22" t="str">
        <f aca="false">IF(J$7=$E69,"◆","")</f>
        <v/>
      </c>
      <c r="K69" s="22" t="str">
        <f aca="false">IF(K$7=$E69,"◆","")</f>
        <v/>
      </c>
      <c r="L69" s="22" t="str">
        <f aca="false">IF(L$7=$E69,"◆","")</f>
        <v/>
      </c>
      <c r="M69" s="22" t="str">
        <f aca="false">IF(M$7=$E69,"◆","")</f>
        <v/>
      </c>
      <c r="N69" s="22" t="str">
        <f aca="false">IF(N$7=$E69,"◆","")</f>
        <v/>
      </c>
      <c r="O69" s="22" t="str">
        <f aca="false">IF(O$7=$E69,"◆","")</f>
        <v/>
      </c>
      <c r="P69" s="22" t="str">
        <f aca="false">IF(P$7=$E69,"◆","")</f>
        <v/>
      </c>
      <c r="Q69" s="22" t="str">
        <f aca="false">IF(Q$7=$E69,"◆","")</f>
        <v/>
      </c>
      <c r="R69" s="22" t="str">
        <f aca="false">IF(R$7=$E69,"◆","")</f>
        <v>◆</v>
      </c>
      <c r="S69" s="22" t="str">
        <f aca="false">IF(S$7=$E69,"◆","")</f>
        <v/>
      </c>
      <c r="T69" s="22" t="str">
        <f aca="false">IF(T$7=$E69,"◆","")</f>
        <v/>
      </c>
      <c r="U69" s="22" t="str">
        <f aca="false">IF(U$7=$E69,"◆","")</f>
        <v/>
      </c>
      <c r="V69" s="22" t="str">
        <f aca="false">IF(V$7=$E69,"◆","")</f>
        <v/>
      </c>
      <c r="W69" s="22" t="str">
        <f aca="false">IF(W$7=$E69,"◆","")</f>
        <v/>
      </c>
      <c r="X69" s="22" t="str">
        <f aca="false">IF(X$7=$E69,"◆","")</f>
        <v/>
      </c>
      <c r="Y69" s="22" t="str">
        <f aca="false">IF(Y$7=$E69,"◆","")</f>
        <v/>
      </c>
      <c r="Z69" s="22" t="str">
        <f aca="false">IF(Z$7=$E69,"◆","")</f>
        <v/>
      </c>
      <c r="AA69" s="22" t="str">
        <f aca="false">IF(AA$7=$E69,"◆","")</f>
        <v/>
      </c>
      <c r="AB69" s="22" t="str">
        <f aca="false">IF(AB$7=$E69,"◆","")</f>
        <v/>
      </c>
      <c r="AC69" s="22" t="str">
        <f aca="false">IF(AC$7=$E69,"◆","")</f>
        <v/>
      </c>
      <c r="AD69" s="22" t="str">
        <f aca="false">IF(AD$7=$E69,"◆","")</f>
        <v/>
      </c>
      <c r="AE69" s="22" t="str">
        <f aca="false">IF(AE$7=$E69,"◆","")</f>
        <v/>
      </c>
      <c r="AF69" s="22" t="str">
        <f aca="false">IF(AF$7=$E69,"◆","")</f>
        <v/>
      </c>
      <c r="AG69" s="22" t="str">
        <f aca="false">IF(AG$7=$E69,"◆","")</f>
        <v/>
      </c>
      <c r="AH69" s="22" t="str">
        <f aca="false">IF(AH$7=$E69,"◆","")</f>
        <v/>
      </c>
      <c r="AI69" s="22" t="str">
        <f aca="false">IF(AI$7=$E69,"◆","")</f>
        <v/>
      </c>
      <c r="AJ69" s="22" t="str">
        <f aca="false">IF(AJ$7=$E69,"◆","")</f>
        <v/>
      </c>
      <c r="AK69" s="22" t="str">
        <f aca="false">IF(AK$7=$E69,"◆","")</f>
        <v/>
      </c>
      <c r="AL69" s="22" t="str">
        <f aca="false">IF(AL$7=$E69,"◆","")</f>
        <v/>
      </c>
      <c r="AM69" s="22" t="str">
        <f aca="false">IF(AM$7=$E69,"◆","")</f>
        <v/>
      </c>
      <c r="AN69" s="22" t="str">
        <f aca="false">IF(AN$7=$E69,"◆","")</f>
        <v/>
      </c>
      <c r="AO69" s="22" t="str">
        <f aca="false">IF(AO$7=$E69,"◆","")</f>
        <v/>
      </c>
      <c r="AP69" s="22" t="str">
        <f aca="false">IF(AP$7=$E69,"◆","")</f>
        <v/>
      </c>
      <c r="AQ69" s="22" t="str">
        <f aca="false">IF(AQ$7=$E69,"◆","")</f>
        <v/>
      </c>
      <c r="AR69" s="22" t="str">
        <f aca="false">IF(AR$7=$E69,"◆","")</f>
        <v/>
      </c>
      <c r="AS69" s="22" t="str">
        <f aca="false">IF(AS$7=$E69,"◆","")</f>
        <v/>
      </c>
      <c r="AT69" s="22" t="str">
        <f aca="false">IF(AT$7=$E69,"◆","")</f>
        <v/>
      </c>
      <c r="AU69" s="22" t="str">
        <f aca="false">IF(AU$7=$E69,"◆","")</f>
        <v/>
      </c>
      <c r="AV69" s="22" t="str">
        <f aca="false">IF(AV$7=$E69,"◆","")</f>
        <v/>
      </c>
      <c r="AW69" s="22" t="str">
        <f aca="false">IF(AW$7=$E69,"◆","")</f>
        <v/>
      </c>
      <c r="AX69" s="22" t="str">
        <f aca="false">IF(AX$7=$E69,"◆","")</f>
        <v/>
      </c>
      <c r="AY69" s="22" t="str">
        <f aca="false">IF(AY$7=$E69,"◆","")</f>
        <v/>
      </c>
      <c r="AZ69" s="22" t="str">
        <f aca="false">IF(AZ$7=$E69,"◆","")</f>
        <v/>
      </c>
      <c r="BA69" s="22" t="str">
        <f aca="false">IF(BA$7=$E69,"◆","")</f>
        <v/>
      </c>
      <c r="BB69" s="22" t="str">
        <f aca="false">IF(BB$7=$E69,"◆","")</f>
        <v/>
      </c>
      <c r="BC69" s="22" t="str">
        <f aca="false">IF(BC$7=$E69,"◆","")</f>
        <v/>
      </c>
      <c r="BD69" s="22" t="str">
        <f aca="false">IF(BD$7=$E69,"◆","")</f>
        <v/>
      </c>
      <c r="BE69" s="22" t="str">
        <f aca="false">IF(BE$7=$E69,"◆","")</f>
        <v/>
      </c>
      <c r="BF69" s="22" t="str">
        <f aca="false">IF(BF$7=$E69,"◆","")</f>
        <v/>
      </c>
    </row>
    <row r="70" customFormat="false" ht="15.75" hidden="false" customHeight="true" outlineLevel="0" collapsed="false">
      <c r="A70" s="15" t="s">
        <v>174</v>
      </c>
      <c r="B70" s="17" t="s">
        <v>175</v>
      </c>
      <c r="C70" s="19" t="s">
        <v>171</v>
      </c>
      <c r="D70" s="19"/>
      <c r="E70" s="18" t="n">
        <v>46052</v>
      </c>
      <c r="F70" s="18" t="n">
        <v>46052</v>
      </c>
      <c r="G70" s="19"/>
      <c r="H70" s="19" t="s">
        <v>57</v>
      </c>
      <c r="I70" s="22" t="str">
        <f aca="false">IF(I$7=$E70,"◆","")</f>
        <v/>
      </c>
      <c r="J70" s="22" t="str">
        <f aca="false">IF(J$7=$E70,"◆","")</f>
        <v/>
      </c>
      <c r="K70" s="22" t="str">
        <f aca="false">IF(K$7=$E70,"◆","")</f>
        <v/>
      </c>
      <c r="L70" s="22" t="str">
        <f aca="false">IF(L$7=$E70,"◆","")</f>
        <v/>
      </c>
      <c r="M70" s="22" t="str">
        <f aca="false">IF(M$7=$E70,"◆","")</f>
        <v/>
      </c>
      <c r="N70" s="22" t="str">
        <f aca="false">IF(N$7=$E70,"◆","")</f>
        <v/>
      </c>
      <c r="O70" s="22" t="str">
        <f aca="false">IF(O$7=$E70,"◆","")</f>
        <v/>
      </c>
      <c r="P70" s="22" t="str">
        <f aca="false">IF(P$7=$E70,"◆","")</f>
        <v/>
      </c>
      <c r="Q70" s="22" t="str">
        <f aca="false">IF(Q$7=$E70,"◆","")</f>
        <v/>
      </c>
      <c r="R70" s="22" t="str">
        <f aca="false">IF(R$7=$E70,"◆","")</f>
        <v/>
      </c>
      <c r="S70" s="22" t="str">
        <f aca="false">IF(S$7=$E70,"◆","")</f>
        <v/>
      </c>
      <c r="T70" s="22" t="str">
        <f aca="false">IF(T$7=$E70,"◆","")</f>
        <v/>
      </c>
      <c r="U70" s="22" t="str">
        <f aca="false">IF(U$7=$E70,"◆","")</f>
        <v/>
      </c>
      <c r="V70" s="22" t="str">
        <f aca="false">IF(V$7=$E70,"◆","")</f>
        <v/>
      </c>
      <c r="W70" s="22" t="str">
        <f aca="false">IF(W$7=$E70,"◆","")</f>
        <v/>
      </c>
      <c r="X70" s="22" t="str">
        <f aca="false">IF(X$7=$E70,"◆","")</f>
        <v/>
      </c>
      <c r="Y70" s="22" t="str">
        <f aca="false">IF(Y$7=$E70,"◆","")</f>
        <v/>
      </c>
      <c r="Z70" s="22" t="str">
        <f aca="false">IF(Z$7=$E70,"◆","")</f>
        <v/>
      </c>
      <c r="AA70" s="22" t="str">
        <f aca="false">IF(AA$7=$E70,"◆","")</f>
        <v/>
      </c>
      <c r="AB70" s="22" t="str">
        <f aca="false">IF(AB$7=$E70,"◆","")</f>
        <v>◆</v>
      </c>
      <c r="AC70" s="22" t="str">
        <f aca="false">IF(AC$7=$E70,"◆","")</f>
        <v/>
      </c>
      <c r="AD70" s="22" t="str">
        <f aca="false">IF(AD$7=$E70,"◆","")</f>
        <v/>
      </c>
      <c r="AE70" s="22" t="str">
        <f aca="false">IF(AE$7=$E70,"◆","")</f>
        <v/>
      </c>
      <c r="AF70" s="22" t="str">
        <f aca="false">IF(AF$7=$E70,"◆","")</f>
        <v/>
      </c>
      <c r="AG70" s="22" t="str">
        <f aca="false">IF(AG$7=$E70,"◆","")</f>
        <v/>
      </c>
      <c r="AH70" s="22" t="str">
        <f aca="false">IF(AH$7=$E70,"◆","")</f>
        <v/>
      </c>
      <c r="AI70" s="22" t="str">
        <f aca="false">IF(AI$7=$E70,"◆","")</f>
        <v/>
      </c>
      <c r="AJ70" s="22" t="str">
        <f aca="false">IF(AJ$7=$E70,"◆","")</f>
        <v/>
      </c>
      <c r="AK70" s="22" t="str">
        <f aca="false">IF(AK$7=$E70,"◆","")</f>
        <v/>
      </c>
      <c r="AL70" s="22" t="str">
        <f aca="false">IF(AL$7=$E70,"◆","")</f>
        <v/>
      </c>
      <c r="AM70" s="22" t="str">
        <f aca="false">IF(AM$7=$E70,"◆","")</f>
        <v/>
      </c>
      <c r="AN70" s="22" t="str">
        <f aca="false">IF(AN$7=$E70,"◆","")</f>
        <v/>
      </c>
      <c r="AO70" s="22" t="str">
        <f aca="false">IF(AO$7=$E70,"◆","")</f>
        <v/>
      </c>
      <c r="AP70" s="22" t="str">
        <f aca="false">IF(AP$7=$E70,"◆","")</f>
        <v/>
      </c>
      <c r="AQ70" s="22" t="str">
        <f aca="false">IF(AQ$7=$E70,"◆","")</f>
        <v/>
      </c>
      <c r="AR70" s="22" t="str">
        <f aca="false">IF(AR$7=$E70,"◆","")</f>
        <v/>
      </c>
      <c r="AS70" s="22" t="str">
        <f aca="false">IF(AS$7=$E70,"◆","")</f>
        <v/>
      </c>
      <c r="AT70" s="22" t="str">
        <f aca="false">IF(AT$7=$E70,"◆","")</f>
        <v/>
      </c>
      <c r="AU70" s="22" t="str">
        <f aca="false">IF(AU$7=$E70,"◆","")</f>
        <v/>
      </c>
      <c r="AV70" s="22" t="str">
        <f aca="false">IF(AV$7=$E70,"◆","")</f>
        <v/>
      </c>
      <c r="AW70" s="22" t="str">
        <f aca="false">IF(AW$7=$E70,"◆","")</f>
        <v/>
      </c>
      <c r="AX70" s="22" t="str">
        <f aca="false">IF(AX$7=$E70,"◆","")</f>
        <v/>
      </c>
      <c r="AY70" s="22" t="str">
        <f aca="false">IF(AY$7=$E70,"◆","")</f>
        <v/>
      </c>
      <c r="AZ70" s="22" t="str">
        <f aca="false">IF(AZ$7=$E70,"◆","")</f>
        <v/>
      </c>
      <c r="BA70" s="22" t="str">
        <f aca="false">IF(BA$7=$E70,"◆","")</f>
        <v/>
      </c>
      <c r="BB70" s="22" t="str">
        <f aca="false">IF(BB$7=$E70,"◆","")</f>
        <v/>
      </c>
      <c r="BC70" s="22" t="str">
        <f aca="false">IF(BC$7=$E70,"◆","")</f>
        <v/>
      </c>
      <c r="BD70" s="22" t="str">
        <f aca="false">IF(BD$7=$E70,"◆","")</f>
        <v/>
      </c>
      <c r="BE70" s="22" t="str">
        <f aca="false">IF(BE$7=$E70,"◆","")</f>
        <v/>
      </c>
      <c r="BF70" s="22" t="str">
        <f aca="false">IF(BF$7=$E70,"◆","")</f>
        <v/>
      </c>
    </row>
    <row r="71" customFormat="false" ht="15.75" hidden="false" customHeight="true" outlineLevel="0" collapsed="false">
      <c r="A71" s="15" t="s">
        <v>176</v>
      </c>
      <c r="B71" s="17" t="s">
        <v>177</v>
      </c>
      <c r="C71" s="19" t="s">
        <v>171</v>
      </c>
      <c r="D71" s="19"/>
      <c r="E71" s="18" t="n">
        <v>46066</v>
      </c>
      <c r="F71" s="18" t="n">
        <v>46066</v>
      </c>
      <c r="G71" s="19"/>
      <c r="H71" s="19" t="s">
        <v>68</v>
      </c>
      <c r="I71" s="22" t="str">
        <f aca="false">IF(I$7=$E71,"◆","")</f>
        <v/>
      </c>
      <c r="J71" s="22" t="str">
        <f aca="false">IF(J$7=$E71,"◆","")</f>
        <v/>
      </c>
      <c r="K71" s="22" t="str">
        <f aca="false">IF(K$7=$E71,"◆","")</f>
        <v/>
      </c>
      <c r="L71" s="22" t="str">
        <f aca="false">IF(L$7=$E71,"◆","")</f>
        <v/>
      </c>
      <c r="M71" s="22" t="str">
        <f aca="false">IF(M$7=$E71,"◆","")</f>
        <v/>
      </c>
      <c r="N71" s="22" t="str">
        <f aca="false">IF(N$7=$E71,"◆","")</f>
        <v/>
      </c>
      <c r="O71" s="22" t="str">
        <f aca="false">IF(O$7=$E71,"◆","")</f>
        <v/>
      </c>
      <c r="P71" s="22" t="str">
        <f aca="false">IF(P$7=$E71,"◆","")</f>
        <v/>
      </c>
      <c r="Q71" s="22" t="str">
        <f aca="false">IF(Q$7=$E71,"◆","")</f>
        <v/>
      </c>
      <c r="R71" s="22" t="str">
        <f aca="false">IF(R$7=$E71,"◆","")</f>
        <v/>
      </c>
      <c r="S71" s="22" t="str">
        <f aca="false">IF(S$7=$E71,"◆","")</f>
        <v/>
      </c>
      <c r="T71" s="22" t="str">
        <f aca="false">IF(T$7=$E71,"◆","")</f>
        <v/>
      </c>
      <c r="U71" s="22" t="str">
        <f aca="false">IF(U$7=$E71,"◆","")</f>
        <v/>
      </c>
      <c r="V71" s="22" t="str">
        <f aca="false">IF(V$7=$E71,"◆","")</f>
        <v/>
      </c>
      <c r="W71" s="22" t="str">
        <f aca="false">IF(W$7=$E71,"◆","")</f>
        <v/>
      </c>
      <c r="X71" s="22" t="str">
        <f aca="false">IF(X$7=$E71,"◆","")</f>
        <v/>
      </c>
      <c r="Y71" s="22" t="str">
        <f aca="false">IF(Y$7=$E71,"◆","")</f>
        <v/>
      </c>
      <c r="Z71" s="22" t="str">
        <f aca="false">IF(Z$7=$E71,"◆","")</f>
        <v/>
      </c>
      <c r="AA71" s="22" t="str">
        <f aca="false">IF(AA$7=$E71,"◆","")</f>
        <v/>
      </c>
      <c r="AB71" s="22" t="str">
        <f aca="false">IF(AB$7=$E71,"◆","")</f>
        <v/>
      </c>
      <c r="AC71" s="22" t="str">
        <f aca="false">IF(AC$7=$E71,"◆","")</f>
        <v/>
      </c>
      <c r="AD71" s="22" t="str">
        <f aca="false">IF(AD$7=$E71,"◆","")</f>
        <v/>
      </c>
      <c r="AE71" s="22" t="str">
        <f aca="false">IF(AE$7=$E71,"◆","")</f>
        <v/>
      </c>
      <c r="AF71" s="22" t="str">
        <f aca="false">IF(AF$7=$E71,"◆","")</f>
        <v/>
      </c>
      <c r="AG71" s="22" t="str">
        <f aca="false">IF(AG$7=$E71,"◆","")</f>
        <v/>
      </c>
      <c r="AH71" s="22" t="str">
        <f aca="false">IF(AH$7=$E71,"◆","")</f>
        <v/>
      </c>
      <c r="AI71" s="22" t="str">
        <f aca="false">IF(AI$7=$E71,"◆","")</f>
        <v/>
      </c>
      <c r="AJ71" s="22" t="str">
        <f aca="false">IF(AJ$7=$E71,"◆","")</f>
        <v/>
      </c>
      <c r="AK71" s="22" t="str">
        <f aca="false">IF(AK$7=$E71,"◆","")</f>
        <v/>
      </c>
      <c r="AL71" s="22" t="str">
        <f aca="false">IF(AL$7=$E71,"◆","")</f>
        <v>◆</v>
      </c>
      <c r="AM71" s="22" t="str">
        <f aca="false">IF(AM$7=$E71,"◆","")</f>
        <v/>
      </c>
      <c r="AN71" s="22" t="str">
        <f aca="false">IF(AN$7=$E71,"◆","")</f>
        <v/>
      </c>
      <c r="AO71" s="22" t="str">
        <f aca="false">IF(AO$7=$E71,"◆","")</f>
        <v/>
      </c>
      <c r="AP71" s="22" t="str">
        <f aca="false">IF(AP$7=$E71,"◆","")</f>
        <v/>
      </c>
      <c r="AQ71" s="22" t="str">
        <f aca="false">IF(AQ$7=$E71,"◆","")</f>
        <v/>
      </c>
      <c r="AR71" s="22" t="str">
        <f aca="false">IF(AR$7=$E71,"◆","")</f>
        <v/>
      </c>
      <c r="AS71" s="22" t="str">
        <f aca="false">IF(AS$7=$E71,"◆","")</f>
        <v/>
      </c>
      <c r="AT71" s="22" t="str">
        <f aca="false">IF(AT$7=$E71,"◆","")</f>
        <v/>
      </c>
      <c r="AU71" s="22" t="str">
        <f aca="false">IF(AU$7=$E71,"◆","")</f>
        <v/>
      </c>
      <c r="AV71" s="22" t="str">
        <f aca="false">IF(AV$7=$E71,"◆","")</f>
        <v/>
      </c>
      <c r="AW71" s="22" t="str">
        <f aca="false">IF(AW$7=$E71,"◆","")</f>
        <v/>
      </c>
      <c r="AX71" s="22" t="str">
        <f aca="false">IF(AX$7=$E71,"◆","")</f>
        <v/>
      </c>
      <c r="AY71" s="22" t="str">
        <f aca="false">IF(AY$7=$E71,"◆","")</f>
        <v/>
      </c>
      <c r="AZ71" s="22" t="str">
        <f aca="false">IF(AZ$7=$E71,"◆","")</f>
        <v/>
      </c>
      <c r="BA71" s="22" t="str">
        <f aca="false">IF(BA$7=$E71,"◆","")</f>
        <v/>
      </c>
      <c r="BB71" s="22" t="str">
        <f aca="false">IF(BB$7=$E71,"◆","")</f>
        <v/>
      </c>
      <c r="BC71" s="22" t="str">
        <f aca="false">IF(BC$7=$E71,"◆","")</f>
        <v/>
      </c>
      <c r="BD71" s="22" t="str">
        <f aca="false">IF(BD$7=$E71,"◆","")</f>
        <v/>
      </c>
      <c r="BE71" s="22" t="str">
        <f aca="false">IF(BE$7=$E71,"◆","")</f>
        <v/>
      </c>
      <c r="BF71" s="22" t="str">
        <f aca="false">IF(BF$7=$E71,"◆","")</f>
        <v/>
      </c>
    </row>
    <row r="72" customFormat="false" ht="15.75" hidden="false" customHeight="true" outlineLevel="0" collapsed="false">
      <c r="A72" s="15" t="s">
        <v>178</v>
      </c>
      <c r="B72" s="17" t="s">
        <v>179</v>
      </c>
      <c r="C72" s="19" t="s">
        <v>171</v>
      </c>
      <c r="D72" s="19"/>
      <c r="E72" s="18" t="n">
        <v>46080</v>
      </c>
      <c r="F72" s="18" t="n">
        <v>46080</v>
      </c>
      <c r="G72" s="19"/>
      <c r="H72" s="19" t="s">
        <v>73</v>
      </c>
      <c r="I72" s="22" t="str">
        <f aca="false">IF(I$7=$E72,"◆","")</f>
        <v/>
      </c>
      <c r="J72" s="22" t="str">
        <f aca="false">IF(J$7=$E72,"◆","")</f>
        <v/>
      </c>
      <c r="K72" s="22" t="str">
        <f aca="false">IF(K$7=$E72,"◆","")</f>
        <v/>
      </c>
      <c r="L72" s="22" t="str">
        <f aca="false">IF(L$7=$E72,"◆","")</f>
        <v/>
      </c>
      <c r="M72" s="22" t="str">
        <f aca="false">IF(M$7=$E72,"◆","")</f>
        <v/>
      </c>
      <c r="N72" s="22" t="str">
        <f aca="false">IF(N$7=$E72,"◆","")</f>
        <v/>
      </c>
      <c r="O72" s="22" t="str">
        <f aca="false">IF(O$7=$E72,"◆","")</f>
        <v/>
      </c>
      <c r="P72" s="22" t="str">
        <f aca="false">IF(P$7=$E72,"◆","")</f>
        <v/>
      </c>
      <c r="Q72" s="22" t="str">
        <f aca="false">IF(Q$7=$E72,"◆","")</f>
        <v/>
      </c>
      <c r="R72" s="22" t="str">
        <f aca="false">IF(R$7=$E72,"◆","")</f>
        <v/>
      </c>
      <c r="S72" s="22" t="str">
        <f aca="false">IF(S$7=$E72,"◆","")</f>
        <v/>
      </c>
      <c r="T72" s="22" t="str">
        <f aca="false">IF(T$7=$E72,"◆","")</f>
        <v/>
      </c>
      <c r="U72" s="22" t="str">
        <f aca="false">IF(U$7=$E72,"◆","")</f>
        <v/>
      </c>
      <c r="V72" s="22" t="str">
        <f aca="false">IF(V$7=$E72,"◆","")</f>
        <v/>
      </c>
      <c r="W72" s="22" t="str">
        <f aca="false">IF(W$7=$E72,"◆","")</f>
        <v/>
      </c>
      <c r="X72" s="22" t="str">
        <f aca="false">IF(X$7=$E72,"◆","")</f>
        <v/>
      </c>
      <c r="Y72" s="22" t="str">
        <f aca="false">IF(Y$7=$E72,"◆","")</f>
        <v/>
      </c>
      <c r="Z72" s="22" t="str">
        <f aca="false">IF(Z$7=$E72,"◆","")</f>
        <v/>
      </c>
      <c r="AA72" s="22" t="str">
        <f aca="false">IF(AA$7=$E72,"◆","")</f>
        <v/>
      </c>
      <c r="AB72" s="22" t="str">
        <f aca="false">IF(AB$7=$E72,"◆","")</f>
        <v/>
      </c>
      <c r="AC72" s="22" t="str">
        <f aca="false">IF(AC$7=$E72,"◆","")</f>
        <v/>
      </c>
      <c r="AD72" s="22" t="str">
        <f aca="false">IF(AD$7=$E72,"◆","")</f>
        <v/>
      </c>
      <c r="AE72" s="22" t="str">
        <f aca="false">IF(AE$7=$E72,"◆","")</f>
        <v/>
      </c>
      <c r="AF72" s="22" t="str">
        <f aca="false">IF(AF$7=$E72,"◆","")</f>
        <v/>
      </c>
      <c r="AG72" s="22" t="str">
        <f aca="false">IF(AG$7=$E72,"◆","")</f>
        <v/>
      </c>
      <c r="AH72" s="22" t="str">
        <f aca="false">IF(AH$7=$E72,"◆","")</f>
        <v/>
      </c>
      <c r="AI72" s="22" t="str">
        <f aca="false">IF(AI$7=$E72,"◆","")</f>
        <v/>
      </c>
      <c r="AJ72" s="22" t="str">
        <f aca="false">IF(AJ$7=$E72,"◆","")</f>
        <v/>
      </c>
      <c r="AK72" s="22" t="str">
        <f aca="false">IF(AK$7=$E72,"◆","")</f>
        <v/>
      </c>
      <c r="AL72" s="22" t="str">
        <f aca="false">IF(AL$7=$E72,"◆","")</f>
        <v/>
      </c>
      <c r="AM72" s="22" t="str">
        <f aca="false">IF(AM$7=$E72,"◆","")</f>
        <v/>
      </c>
      <c r="AN72" s="22" t="str">
        <f aca="false">IF(AN$7=$E72,"◆","")</f>
        <v/>
      </c>
      <c r="AO72" s="22" t="str">
        <f aca="false">IF(AO$7=$E72,"◆","")</f>
        <v/>
      </c>
      <c r="AP72" s="22" t="str">
        <f aca="false">IF(AP$7=$E72,"◆","")</f>
        <v/>
      </c>
      <c r="AQ72" s="22" t="str">
        <f aca="false">IF(AQ$7=$E72,"◆","")</f>
        <v/>
      </c>
      <c r="AR72" s="22" t="str">
        <f aca="false">IF(AR$7=$E72,"◆","")</f>
        <v/>
      </c>
      <c r="AS72" s="22" t="str">
        <f aca="false">IF(AS$7=$E72,"◆","")</f>
        <v/>
      </c>
      <c r="AT72" s="22" t="str">
        <f aca="false">IF(AT$7=$E72,"◆","")</f>
        <v/>
      </c>
      <c r="AU72" s="22" t="str">
        <f aca="false">IF(AU$7=$E72,"◆","")</f>
        <v/>
      </c>
      <c r="AV72" s="22" t="str">
        <f aca="false">IF(AV$7=$E72,"◆","")</f>
        <v>◆</v>
      </c>
      <c r="AW72" s="22" t="str">
        <f aca="false">IF(AW$7=$E72,"◆","")</f>
        <v/>
      </c>
      <c r="AX72" s="22" t="str">
        <f aca="false">IF(AX$7=$E72,"◆","")</f>
        <v/>
      </c>
      <c r="AY72" s="22" t="str">
        <f aca="false">IF(AY$7=$E72,"◆","")</f>
        <v/>
      </c>
      <c r="AZ72" s="22" t="str">
        <f aca="false">IF(AZ$7=$E72,"◆","")</f>
        <v/>
      </c>
      <c r="BA72" s="22" t="str">
        <f aca="false">IF(BA$7=$E72,"◆","")</f>
        <v/>
      </c>
      <c r="BB72" s="22" t="str">
        <f aca="false">IF(BB$7=$E72,"◆","")</f>
        <v/>
      </c>
      <c r="BC72" s="22" t="str">
        <f aca="false">IF(BC$7=$E72,"◆","")</f>
        <v/>
      </c>
      <c r="BD72" s="22" t="str">
        <f aca="false">IF(BD$7=$E72,"◆","")</f>
        <v/>
      </c>
      <c r="BE72" s="22" t="str">
        <f aca="false">IF(BE$7=$E72,"◆","")</f>
        <v/>
      </c>
      <c r="BF72" s="22" t="str">
        <f aca="false">IF(BF$7=$E72,"◆","")</f>
        <v/>
      </c>
    </row>
    <row r="73" customFormat="false" ht="15.75" hidden="false" customHeight="true" outlineLevel="0" collapsed="false">
      <c r="A73" s="15" t="s">
        <v>180</v>
      </c>
      <c r="B73" s="17" t="s">
        <v>181</v>
      </c>
      <c r="C73" s="19" t="s">
        <v>171</v>
      </c>
      <c r="D73" s="19"/>
      <c r="E73" s="18" t="n">
        <v>46087</v>
      </c>
      <c r="F73" s="18" t="n">
        <v>46087</v>
      </c>
      <c r="G73" s="19"/>
      <c r="H73" s="19" t="s">
        <v>80</v>
      </c>
      <c r="I73" s="22" t="str">
        <f aca="false">IF(I$7=$E73,"◆","")</f>
        <v/>
      </c>
      <c r="J73" s="22" t="str">
        <f aca="false">IF(J$7=$E73,"◆","")</f>
        <v/>
      </c>
      <c r="K73" s="22" t="str">
        <f aca="false">IF(K$7=$E73,"◆","")</f>
        <v/>
      </c>
      <c r="L73" s="22" t="str">
        <f aca="false">IF(L$7=$E73,"◆","")</f>
        <v/>
      </c>
      <c r="M73" s="22" t="str">
        <f aca="false">IF(M$7=$E73,"◆","")</f>
        <v/>
      </c>
      <c r="N73" s="22" t="str">
        <f aca="false">IF(N$7=$E73,"◆","")</f>
        <v/>
      </c>
      <c r="O73" s="22" t="str">
        <f aca="false">IF(O$7=$E73,"◆","")</f>
        <v/>
      </c>
      <c r="P73" s="22" t="str">
        <f aca="false">IF(P$7=$E73,"◆","")</f>
        <v/>
      </c>
      <c r="Q73" s="22" t="str">
        <f aca="false">IF(Q$7=$E73,"◆","")</f>
        <v/>
      </c>
      <c r="R73" s="22" t="str">
        <f aca="false">IF(R$7=$E73,"◆","")</f>
        <v/>
      </c>
      <c r="S73" s="22" t="str">
        <f aca="false">IF(S$7=$E73,"◆","")</f>
        <v/>
      </c>
      <c r="T73" s="22" t="str">
        <f aca="false">IF(T$7=$E73,"◆","")</f>
        <v/>
      </c>
      <c r="U73" s="22" t="str">
        <f aca="false">IF(U$7=$E73,"◆","")</f>
        <v/>
      </c>
      <c r="V73" s="22" t="str">
        <f aca="false">IF(V$7=$E73,"◆","")</f>
        <v/>
      </c>
      <c r="W73" s="22" t="str">
        <f aca="false">IF(W$7=$E73,"◆","")</f>
        <v/>
      </c>
      <c r="X73" s="22" t="str">
        <f aca="false">IF(X$7=$E73,"◆","")</f>
        <v/>
      </c>
      <c r="Y73" s="22" t="str">
        <f aca="false">IF(Y$7=$E73,"◆","")</f>
        <v/>
      </c>
      <c r="Z73" s="22" t="str">
        <f aca="false">IF(Z$7=$E73,"◆","")</f>
        <v/>
      </c>
      <c r="AA73" s="22" t="str">
        <f aca="false">IF(AA$7=$E73,"◆","")</f>
        <v/>
      </c>
      <c r="AB73" s="22" t="str">
        <f aca="false">IF(AB$7=$E73,"◆","")</f>
        <v/>
      </c>
      <c r="AC73" s="22" t="str">
        <f aca="false">IF(AC$7=$E73,"◆","")</f>
        <v/>
      </c>
      <c r="AD73" s="22" t="str">
        <f aca="false">IF(AD$7=$E73,"◆","")</f>
        <v/>
      </c>
      <c r="AE73" s="22" t="str">
        <f aca="false">IF(AE$7=$E73,"◆","")</f>
        <v/>
      </c>
      <c r="AF73" s="22" t="str">
        <f aca="false">IF(AF$7=$E73,"◆","")</f>
        <v/>
      </c>
      <c r="AG73" s="22" t="str">
        <f aca="false">IF(AG$7=$E73,"◆","")</f>
        <v/>
      </c>
      <c r="AH73" s="22" t="str">
        <f aca="false">IF(AH$7=$E73,"◆","")</f>
        <v/>
      </c>
      <c r="AI73" s="22" t="str">
        <f aca="false">IF(AI$7=$E73,"◆","")</f>
        <v/>
      </c>
      <c r="AJ73" s="22" t="str">
        <f aca="false">IF(AJ$7=$E73,"◆","")</f>
        <v/>
      </c>
      <c r="AK73" s="22" t="str">
        <f aca="false">IF(AK$7=$E73,"◆","")</f>
        <v/>
      </c>
      <c r="AL73" s="22" t="str">
        <f aca="false">IF(AL$7=$E73,"◆","")</f>
        <v/>
      </c>
      <c r="AM73" s="22" t="str">
        <f aca="false">IF(AM$7=$E73,"◆","")</f>
        <v/>
      </c>
      <c r="AN73" s="22" t="str">
        <f aca="false">IF(AN$7=$E73,"◆","")</f>
        <v/>
      </c>
      <c r="AO73" s="22" t="str">
        <f aca="false">IF(AO$7=$E73,"◆","")</f>
        <v/>
      </c>
      <c r="AP73" s="22" t="str">
        <f aca="false">IF(AP$7=$E73,"◆","")</f>
        <v/>
      </c>
      <c r="AQ73" s="22" t="str">
        <f aca="false">IF(AQ$7=$E73,"◆","")</f>
        <v/>
      </c>
      <c r="AR73" s="22" t="str">
        <f aca="false">IF(AR$7=$E73,"◆","")</f>
        <v/>
      </c>
      <c r="AS73" s="22" t="str">
        <f aca="false">IF(AS$7=$E73,"◆","")</f>
        <v/>
      </c>
      <c r="AT73" s="22" t="str">
        <f aca="false">IF(AT$7=$E73,"◆","")</f>
        <v/>
      </c>
      <c r="AU73" s="22" t="str">
        <f aca="false">IF(AU$7=$E73,"◆","")</f>
        <v/>
      </c>
      <c r="AV73" s="22" t="str">
        <f aca="false">IF(AV$7=$E73,"◆","")</f>
        <v/>
      </c>
      <c r="AW73" s="22" t="str">
        <f aca="false">IF(AW$7=$E73,"◆","")</f>
        <v/>
      </c>
      <c r="AX73" s="22" t="str">
        <f aca="false">IF(AX$7=$E73,"◆","")</f>
        <v/>
      </c>
      <c r="AY73" s="22" t="str">
        <f aca="false">IF(AY$7=$E73,"◆","")</f>
        <v/>
      </c>
      <c r="AZ73" s="22" t="str">
        <f aca="false">IF(AZ$7=$E73,"◆","")</f>
        <v/>
      </c>
      <c r="BA73" s="22" t="str">
        <f aca="false">IF(BA$7=$E73,"◆","")</f>
        <v>◆</v>
      </c>
      <c r="BB73" s="22" t="str">
        <f aca="false">IF(BB$7=$E73,"◆","")</f>
        <v/>
      </c>
      <c r="BC73" s="22" t="str">
        <f aca="false">IF(BC$7=$E73,"◆","")</f>
        <v/>
      </c>
      <c r="BD73" s="22" t="str">
        <f aca="false">IF(BD$7=$E73,"◆","")</f>
        <v/>
      </c>
      <c r="BE73" s="22" t="str">
        <f aca="false">IF(BE$7=$E73,"◆","")</f>
        <v/>
      </c>
      <c r="BF73" s="22" t="str">
        <f aca="false">IF(BF$7=$E73,"◆","")</f>
        <v/>
      </c>
    </row>
    <row r="74" customFormat="false" ht="15.75" hidden="false" customHeight="true" outlineLevel="0" collapsed="false">
      <c r="A74" s="15" t="s">
        <v>182</v>
      </c>
      <c r="B74" s="17" t="s">
        <v>183</v>
      </c>
      <c r="C74" s="19" t="s">
        <v>171</v>
      </c>
      <c r="D74" s="19"/>
      <c r="E74" s="18" t="n">
        <v>46090</v>
      </c>
      <c r="F74" s="18" t="n">
        <v>46090</v>
      </c>
      <c r="G74" s="19"/>
      <c r="H74" s="19" t="s">
        <v>80</v>
      </c>
      <c r="I74" s="22" t="str">
        <f aca="false">IF(I$7=$E74,"◆","")</f>
        <v/>
      </c>
      <c r="J74" s="22" t="str">
        <f aca="false">IF(J$7=$E74,"◆","")</f>
        <v/>
      </c>
      <c r="K74" s="22" t="str">
        <f aca="false">IF(K$7=$E74,"◆","")</f>
        <v/>
      </c>
      <c r="L74" s="22" t="str">
        <f aca="false">IF(L$7=$E74,"◆","")</f>
        <v/>
      </c>
      <c r="M74" s="22" t="str">
        <f aca="false">IF(M$7=$E74,"◆","")</f>
        <v/>
      </c>
      <c r="N74" s="22" t="str">
        <f aca="false">IF(N$7=$E74,"◆","")</f>
        <v/>
      </c>
      <c r="O74" s="22" t="str">
        <f aca="false">IF(O$7=$E74,"◆","")</f>
        <v/>
      </c>
      <c r="P74" s="22" t="str">
        <f aca="false">IF(P$7=$E74,"◆","")</f>
        <v/>
      </c>
      <c r="Q74" s="22" t="str">
        <f aca="false">IF(Q$7=$E74,"◆","")</f>
        <v/>
      </c>
      <c r="R74" s="22" t="str">
        <f aca="false">IF(R$7=$E74,"◆","")</f>
        <v/>
      </c>
      <c r="S74" s="22" t="str">
        <f aca="false">IF(S$7=$E74,"◆","")</f>
        <v/>
      </c>
      <c r="T74" s="22" t="str">
        <f aca="false">IF(T$7=$E74,"◆","")</f>
        <v/>
      </c>
      <c r="U74" s="22" t="str">
        <f aca="false">IF(U$7=$E74,"◆","")</f>
        <v/>
      </c>
      <c r="V74" s="22" t="str">
        <f aca="false">IF(V$7=$E74,"◆","")</f>
        <v/>
      </c>
      <c r="W74" s="22" t="str">
        <f aca="false">IF(W$7=$E74,"◆","")</f>
        <v/>
      </c>
      <c r="X74" s="22" t="str">
        <f aca="false">IF(X$7=$E74,"◆","")</f>
        <v/>
      </c>
      <c r="Y74" s="22" t="str">
        <f aca="false">IF(Y$7=$E74,"◆","")</f>
        <v/>
      </c>
      <c r="Z74" s="22" t="str">
        <f aca="false">IF(Z$7=$E74,"◆","")</f>
        <v/>
      </c>
      <c r="AA74" s="22" t="str">
        <f aca="false">IF(AA$7=$E74,"◆","")</f>
        <v/>
      </c>
      <c r="AB74" s="22" t="str">
        <f aca="false">IF(AB$7=$E74,"◆","")</f>
        <v/>
      </c>
      <c r="AC74" s="22" t="str">
        <f aca="false">IF(AC$7=$E74,"◆","")</f>
        <v/>
      </c>
      <c r="AD74" s="22" t="str">
        <f aca="false">IF(AD$7=$E74,"◆","")</f>
        <v/>
      </c>
      <c r="AE74" s="22" t="str">
        <f aca="false">IF(AE$7=$E74,"◆","")</f>
        <v/>
      </c>
      <c r="AF74" s="22" t="str">
        <f aca="false">IF(AF$7=$E74,"◆","")</f>
        <v/>
      </c>
      <c r="AG74" s="22" t="str">
        <f aca="false">IF(AG$7=$E74,"◆","")</f>
        <v/>
      </c>
      <c r="AH74" s="22" t="str">
        <f aca="false">IF(AH$7=$E74,"◆","")</f>
        <v/>
      </c>
      <c r="AI74" s="22" t="str">
        <f aca="false">IF(AI$7=$E74,"◆","")</f>
        <v/>
      </c>
      <c r="AJ74" s="22" t="str">
        <f aca="false">IF(AJ$7=$E74,"◆","")</f>
        <v/>
      </c>
      <c r="AK74" s="22" t="str">
        <f aca="false">IF(AK$7=$E74,"◆","")</f>
        <v/>
      </c>
      <c r="AL74" s="22" t="str">
        <f aca="false">IF(AL$7=$E74,"◆","")</f>
        <v/>
      </c>
      <c r="AM74" s="22" t="str">
        <f aca="false">IF(AM$7=$E74,"◆","")</f>
        <v/>
      </c>
      <c r="AN74" s="22" t="str">
        <f aca="false">IF(AN$7=$E74,"◆","")</f>
        <v/>
      </c>
      <c r="AO74" s="22" t="str">
        <f aca="false">IF(AO$7=$E74,"◆","")</f>
        <v/>
      </c>
      <c r="AP74" s="22" t="str">
        <f aca="false">IF(AP$7=$E74,"◆","")</f>
        <v/>
      </c>
      <c r="AQ74" s="22" t="str">
        <f aca="false">IF(AQ$7=$E74,"◆","")</f>
        <v/>
      </c>
      <c r="AR74" s="22" t="str">
        <f aca="false">IF(AR$7=$E74,"◆","")</f>
        <v/>
      </c>
      <c r="AS74" s="22" t="str">
        <f aca="false">IF(AS$7=$E74,"◆","")</f>
        <v/>
      </c>
      <c r="AT74" s="22" t="str">
        <f aca="false">IF(AT$7=$E74,"◆","")</f>
        <v/>
      </c>
      <c r="AU74" s="22" t="str">
        <f aca="false">IF(AU$7=$E74,"◆","")</f>
        <v/>
      </c>
      <c r="AV74" s="22" t="str">
        <f aca="false">IF(AV$7=$E74,"◆","")</f>
        <v/>
      </c>
      <c r="AW74" s="22" t="str">
        <f aca="false">IF(AW$7=$E74,"◆","")</f>
        <v/>
      </c>
      <c r="AX74" s="22" t="str">
        <f aca="false">IF(AX$7=$E74,"◆","")</f>
        <v/>
      </c>
      <c r="AY74" s="22" t="str">
        <f aca="false">IF(AY$7=$E74,"◆","")</f>
        <v/>
      </c>
      <c r="AZ74" s="22" t="str">
        <f aca="false">IF(AZ$7=$E74,"◆","")</f>
        <v/>
      </c>
      <c r="BA74" s="22" t="str">
        <f aca="false">IF(BA$7=$E74,"◆","")</f>
        <v/>
      </c>
      <c r="BB74" s="22" t="str">
        <f aca="false">IF(BB$7=$E74,"◆","")</f>
        <v>◆</v>
      </c>
      <c r="BC74" s="22" t="str">
        <f aca="false">IF(BC$7=$E74,"◆","")</f>
        <v/>
      </c>
      <c r="BD74" s="22" t="str">
        <f aca="false">IF(BD$7=$E74,"◆","")</f>
        <v/>
      </c>
      <c r="BE74" s="22" t="str">
        <f aca="false">IF(BE$7=$E74,"◆","")</f>
        <v/>
      </c>
      <c r="BF74" s="22" t="str">
        <f aca="false">IF(BF$7=$E74,"◆","")</f>
        <v/>
      </c>
    </row>
    <row r="75" customFormat="false" ht="15.75" hidden="false" customHeight="true" outlineLevel="0" collapsed="false">
      <c r="A75" s="15" t="s">
        <v>184</v>
      </c>
      <c r="B75" s="17" t="s">
        <v>185</v>
      </c>
      <c r="C75" s="19" t="s">
        <v>171</v>
      </c>
      <c r="D75" s="19"/>
      <c r="E75" s="18" t="n">
        <v>46092</v>
      </c>
      <c r="F75" s="18" t="n">
        <v>46092</v>
      </c>
      <c r="G75" s="19"/>
      <c r="H75" s="19" t="s">
        <v>80</v>
      </c>
      <c r="I75" s="22" t="str">
        <f aca="false">IF(I$7=$E75,"◆","")</f>
        <v/>
      </c>
      <c r="J75" s="22" t="str">
        <f aca="false">IF(J$7=$E75,"◆","")</f>
        <v/>
      </c>
      <c r="K75" s="22" t="str">
        <f aca="false">IF(K$7=$E75,"◆","")</f>
        <v/>
      </c>
      <c r="L75" s="22" t="str">
        <f aca="false">IF(L$7=$E75,"◆","")</f>
        <v/>
      </c>
      <c r="M75" s="22" t="str">
        <f aca="false">IF(M$7=$E75,"◆","")</f>
        <v/>
      </c>
      <c r="N75" s="22" t="str">
        <f aca="false">IF(N$7=$E75,"◆","")</f>
        <v/>
      </c>
      <c r="O75" s="22" t="str">
        <f aca="false">IF(O$7=$E75,"◆","")</f>
        <v/>
      </c>
      <c r="P75" s="22" t="str">
        <f aca="false">IF(P$7=$E75,"◆","")</f>
        <v/>
      </c>
      <c r="Q75" s="22" t="str">
        <f aca="false">IF(Q$7=$E75,"◆","")</f>
        <v/>
      </c>
      <c r="R75" s="22" t="str">
        <f aca="false">IF(R$7=$E75,"◆","")</f>
        <v/>
      </c>
      <c r="S75" s="22" t="str">
        <f aca="false">IF(S$7=$E75,"◆","")</f>
        <v/>
      </c>
      <c r="T75" s="22" t="str">
        <f aca="false">IF(T$7=$E75,"◆","")</f>
        <v/>
      </c>
      <c r="U75" s="22" t="str">
        <f aca="false">IF(U$7=$E75,"◆","")</f>
        <v/>
      </c>
      <c r="V75" s="22" t="str">
        <f aca="false">IF(V$7=$E75,"◆","")</f>
        <v/>
      </c>
      <c r="W75" s="22" t="str">
        <f aca="false">IF(W$7=$E75,"◆","")</f>
        <v/>
      </c>
      <c r="X75" s="22" t="str">
        <f aca="false">IF(X$7=$E75,"◆","")</f>
        <v/>
      </c>
      <c r="Y75" s="22" t="str">
        <f aca="false">IF(Y$7=$E75,"◆","")</f>
        <v/>
      </c>
      <c r="Z75" s="22" t="str">
        <f aca="false">IF(Z$7=$E75,"◆","")</f>
        <v/>
      </c>
      <c r="AA75" s="22" t="str">
        <f aca="false">IF(AA$7=$E75,"◆","")</f>
        <v/>
      </c>
      <c r="AB75" s="22" t="str">
        <f aca="false">IF(AB$7=$E75,"◆","")</f>
        <v/>
      </c>
      <c r="AC75" s="22" t="str">
        <f aca="false">IF(AC$7=$E75,"◆","")</f>
        <v/>
      </c>
      <c r="AD75" s="22" t="str">
        <f aca="false">IF(AD$7=$E75,"◆","")</f>
        <v/>
      </c>
      <c r="AE75" s="22" t="str">
        <f aca="false">IF(AE$7=$E75,"◆","")</f>
        <v/>
      </c>
      <c r="AF75" s="22" t="str">
        <f aca="false">IF(AF$7=$E75,"◆","")</f>
        <v/>
      </c>
      <c r="AG75" s="22" t="str">
        <f aca="false">IF(AG$7=$E75,"◆","")</f>
        <v/>
      </c>
      <c r="AH75" s="22" t="str">
        <f aca="false">IF(AH$7=$E75,"◆","")</f>
        <v/>
      </c>
      <c r="AI75" s="22" t="str">
        <f aca="false">IF(AI$7=$E75,"◆","")</f>
        <v/>
      </c>
      <c r="AJ75" s="22" t="str">
        <f aca="false">IF(AJ$7=$E75,"◆","")</f>
        <v/>
      </c>
      <c r="AK75" s="22" t="str">
        <f aca="false">IF(AK$7=$E75,"◆","")</f>
        <v/>
      </c>
      <c r="AL75" s="22" t="str">
        <f aca="false">IF(AL$7=$E75,"◆","")</f>
        <v/>
      </c>
      <c r="AM75" s="22" t="str">
        <f aca="false">IF(AM$7=$E75,"◆","")</f>
        <v/>
      </c>
      <c r="AN75" s="22" t="str">
        <f aca="false">IF(AN$7=$E75,"◆","")</f>
        <v/>
      </c>
      <c r="AO75" s="22" t="str">
        <f aca="false">IF(AO$7=$E75,"◆","")</f>
        <v/>
      </c>
      <c r="AP75" s="22" t="str">
        <f aca="false">IF(AP$7=$E75,"◆","")</f>
        <v/>
      </c>
      <c r="AQ75" s="22" t="str">
        <f aca="false">IF(AQ$7=$E75,"◆","")</f>
        <v/>
      </c>
      <c r="AR75" s="22" t="str">
        <f aca="false">IF(AR$7=$E75,"◆","")</f>
        <v/>
      </c>
      <c r="AS75" s="22" t="str">
        <f aca="false">IF(AS$7=$E75,"◆","")</f>
        <v/>
      </c>
      <c r="AT75" s="22" t="str">
        <f aca="false">IF(AT$7=$E75,"◆","")</f>
        <v/>
      </c>
      <c r="AU75" s="22" t="str">
        <f aca="false">IF(AU$7=$E75,"◆","")</f>
        <v/>
      </c>
      <c r="AV75" s="22" t="str">
        <f aca="false">IF(AV$7=$E75,"◆","")</f>
        <v/>
      </c>
      <c r="AW75" s="22" t="str">
        <f aca="false">IF(AW$7=$E75,"◆","")</f>
        <v/>
      </c>
      <c r="AX75" s="22" t="str">
        <f aca="false">IF(AX$7=$E75,"◆","")</f>
        <v/>
      </c>
      <c r="AY75" s="22" t="str">
        <f aca="false">IF(AY$7=$E75,"◆","")</f>
        <v/>
      </c>
      <c r="AZ75" s="22" t="str">
        <f aca="false">IF(AZ$7=$E75,"◆","")</f>
        <v/>
      </c>
      <c r="BA75" s="22" t="str">
        <f aca="false">IF(BA$7=$E75,"◆","")</f>
        <v/>
      </c>
      <c r="BB75" s="22" t="str">
        <f aca="false">IF(BB$7=$E75,"◆","")</f>
        <v/>
      </c>
      <c r="BC75" s="22" t="str">
        <f aca="false">IF(BC$7=$E75,"◆","")</f>
        <v/>
      </c>
      <c r="BD75" s="22" t="str">
        <f aca="false">IF(BD$7=$E75,"◆","")</f>
        <v>◆</v>
      </c>
      <c r="BE75" s="22" t="str">
        <f aca="false">IF(BE$7=$E75,"◆","")</f>
        <v/>
      </c>
      <c r="BF75" s="22" t="str">
        <f aca="false">IF(BF$7=$E75,"◆","")</f>
        <v/>
      </c>
    </row>
    <row r="76" customFormat="false" ht="15.75" hidden="false" customHeight="true" outlineLevel="0" collapsed="false">
      <c r="A76" s="15" t="s">
        <v>186</v>
      </c>
      <c r="B76" s="17" t="s">
        <v>187</v>
      </c>
      <c r="C76" s="19" t="s">
        <v>171</v>
      </c>
      <c r="D76" s="19"/>
      <c r="E76" s="18" t="n">
        <v>46094</v>
      </c>
      <c r="F76" s="18" t="n">
        <v>46094</v>
      </c>
      <c r="G76" s="19"/>
      <c r="H76" s="19" t="s">
        <v>80</v>
      </c>
      <c r="I76" s="22" t="str">
        <f aca="false">IF(I$7=$E76,"◆","")</f>
        <v/>
      </c>
      <c r="J76" s="22" t="str">
        <f aca="false">IF(J$7=$E76,"◆","")</f>
        <v/>
      </c>
      <c r="K76" s="22" t="str">
        <f aca="false">IF(K$7=$E76,"◆","")</f>
        <v/>
      </c>
      <c r="L76" s="22" t="str">
        <f aca="false">IF(L$7=$E76,"◆","")</f>
        <v/>
      </c>
      <c r="M76" s="22" t="str">
        <f aca="false">IF(M$7=$E76,"◆","")</f>
        <v/>
      </c>
      <c r="N76" s="22" t="str">
        <f aca="false">IF(N$7=$E76,"◆","")</f>
        <v/>
      </c>
      <c r="O76" s="22" t="str">
        <f aca="false">IF(O$7=$E76,"◆","")</f>
        <v/>
      </c>
      <c r="P76" s="22" t="str">
        <f aca="false">IF(P$7=$E76,"◆","")</f>
        <v/>
      </c>
      <c r="Q76" s="22" t="str">
        <f aca="false">IF(Q$7=$E76,"◆","")</f>
        <v/>
      </c>
      <c r="R76" s="22" t="str">
        <f aca="false">IF(R$7=$E76,"◆","")</f>
        <v/>
      </c>
      <c r="S76" s="22" t="str">
        <f aca="false">IF(S$7=$E76,"◆","")</f>
        <v/>
      </c>
      <c r="T76" s="22" t="str">
        <f aca="false">IF(T$7=$E76,"◆","")</f>
        <v/>
      </c>
      <c r="U76" s="22" t="str">
        <f aca="false">IF(U$7=$E76,"◆","")</f>
        <v/>
      </c>
      <c r="V76" s="22" t="str">
        <f aca="false">IF(V$7=$E76,"◆","")</f>
        <v/>
      </c>
      <c r="W76" s="22" t="str">
        <f aca="false">IF(W$7=$E76,"◆","")</f>
        <v/>
      </c>
      <c r="X76" s="22" t="str">
        <f aca="false">IF(X$7=$E76,"◆","")</f>
        <v/>
      </c>
      <c r="Y76" s="22" t="str">
        <f aca="false">IF(Y$7=$E76,"◆","")</f>
        <v/>
      </c>
      <c r="Z76" s="22" t="str">
        <f aca="false">IF(Z$7=$E76,"◆","")</f>
        <v/>
      </c>
      <c r="AA76" s="22" t="str">
        <f aca="false">IF(AA$7=$E76,"◆","")</f>
        <v/>
      </c>
      <c r="AB76" s="22" t="str">
        <f aca="false">IF(AB$7=$E76,"◆","")</f>
        <v/>
      </c>
      <c r="AC76" s="22" t="str">
        <f aca="false">IF(AC$7=$E76,"◆","")</f>
        <v/>
      </c>
      <c r="AD76" s="22" t="str">
        <f aca="false">IF(AD$7=$E76,"◆","")</f>
        <v/>
      </c>
      <c r="AE76" s="22" t="str">
        <f aca="false">IF(AE$7=$E76,"◆","")</f>
        <v/>
      </c>
      <c r="AF76" s="22" t="str">
        <f aca="false">IF(AF$7=$E76,"◆","")</f>
        <v/>
      </c>
      <c r="AG76" s="22" t="str">
        <f aca="false">IF(AG$7=$E76,"◆","")</f>
        <v/>
      </c>
      <c r="AH76" s="22" t="str">
        <f aca="false">IF(AH$7=$E76,"◆","")</f>
        <v/>
      </c>
      <c r="AI76" s="22" t="str">
        <f aca="false">IF(AI$7=$E76,"◆","")</f>
        <v/>
      </c>
      <c r="AJ76" s="22" t="str">
        <f aca="false">IF(AJ$7=$E76,"◆","")</f>
        <v/>
      </c>
      <c r="AK76" s="22" t="str">
        <f aca="false">IF(AK$7=$E76,"◆","")</f>
        <v/>
      </c>
      <c r="AL76" s="22" t="str">
        <f aca="false">IF(AL$7=$E76,"◆","")</f>
        <v/>
      </c>
      <c r="AM76" s="22" t="str">
        <f aca="false">IF(AM$7=$E76,"◆","")</f>
        <v/>
      </c>
      <c r="AN76" s="22" t="str">
        <f aca="false">IF(AN$7=$E76,"◆","")</f>
        <v/>
      </c>
      <c r="AO76" s="22" t="str">
        <f aca="false">IF(AO$7=$E76,"◆","")</f>
        <v/>
      </c>
      <c r="AP76" s="22" t="str">
        <f aca="false">IF(AP$7=$E76,"◆","")</f>
        <v/>
      </c>
      <c r="AQ76" s="22" t="str">
        <f aca="false">IF(AQ$7=$E76,"◆","")</f>
        <v/>
      </c>
      <c r="AR76" s="22" t="str">
        <f aca="false">IF(AR$7=$E76,"◆","")</f>
        <v/>
      </c>
      <c r="AS76" s="22" t="str">
        <f aca="false">IF(AS$7=$E76,"◆","")</f>
        <v/>
      </c>
      <c r="AT76" s="22" t="str">
        <f aca="false">IF(AT$7=$E76,"◆","")</f>
        <v/>
      </c>
      <c r="AU76" s="22" t="str">
        <f aca="false">IF(AU$7=$E76,"◆","")</f>
        <v/>
      </c>
      <c r="AV76" s="22" t="str">
        <f aca="false">IF(AV$7=$E76,"◆","")</f>
        <v/>
      </c>
      <c r="AW76" s="22" t="str">
        <f aca="false">IF(AW$7=$E76,"◆","")</f>
        <v/>
      </c>
      <c r="AX76" s="22" t="str">
        <f aca="false">IF(AX$7=$E76,"◆","")</f>
        <v/>
      </c>
      <c r="AY76" s="22" t="str">
        <f aca="false">IF(AY$7=$E76,"◆","")</f>
        <v/>
      </c>
      <c r="AZ76" s="22" t="str">
        <f aca="false">IF(AZ$7=$E76,"◆","")</f>
        <v/>
      </c>
      <c r="BA76" s="22" t="str">
        <f aca="false">IF(BA$7=$E76,"◆","")</f>
        <v/>
      </c>
      <c r="BB76" s="22" t="str">
        <f aca="false">IF(BB$7=$E76,"◆","")</f>
        <v/>
      </c>
      <c r="BC76" s="22" t="str">
        <f aca="false">IF(BC$7=$E76,"◆","")</f>
        <v/>
      </c>
      <c r="BD76" s="22" t="str">
        <f aca="false">IF(BD$7=$E76,"◆","")</f>
        <v/>
      </c>
      <c r="BE76" s="22" t="str">
        <f aca="false">IF(BE$7=$E76,"◆","")</f>
        <v/>
      </c>
      <c r="BF76" s="22" t="str">
        <f aca="false">IF(BF$7=$E76,"◆","")</f>
        <v>◆</v>
      </c>
    </row>
    <row r="78" customFormat="false" ht="15" hidden="false" customHeight="false" outlineLevel="0" collapsed="false">
      <c r="B78" s="23" t="s">
        <v>188</v>
      </c>
    </row>
    <row r="79" customFormat="false" ht="15" hidden="false" customHeight="false" outlineLevel="0" collapsed="false">
      <c r="A79" s="24"/>
      <c r="B79" s="25" t="s">
        <v>32</v>
      </c>
    </row>
    <row r="80" customFormat="false" ht="15" hidden="false" customHeight="false" outlineLevel="0" collapsed="false">
      <c r="A80" s="26"/>
      <c r="B80" s="25" t="s">
        <v>44</v>
      </c>
    </row>
    <row r="81" customFormat="false" ht="15" hidden="false" customHeight="false" outlineLevel="0" collapsed="false">
      <c r="A81" s="27"/>
      <c r="B81" s="25" t="s">
        <v>62</v>
      </c>
    </row>
    <row r="82" customFormat="false" ht="15" hidden="false" customHeight="false" outlineLevel="0" collapsed="false">
      <c r="A82" s="28"/>
      <c r="B82" s="25" t="s">
        <v>85</v>
      </c>
    </row>
    <row r="83" customFormat="false" ht="15" hidden="false" customHeight="false" outlineLevel="0" collapsed="false">
      <c r="A83" s="29"/>
      <c r="B83" s="25" t="s">
        <v>103</v>
      </c>
    </row>
    <row r="84" customFormat="false" ht="15" hidden="false" customHeight="false" outlineLevel="0" collapsed="false">
      <c r="A84" s="30"/>
      <c r="B84" s="25" t="s">
        <v>125</v>
      </c>
    </row>
    <row r="85" customFormat="false" ht="15" hidden="false" customHeight="false" outlineLevel="0" collapsed="false">
      <c r="A85" s="31"/>
      <c r="B85" s="25" t="s">
        <v>142</v>
      </c>
    </row>
    <row r="86" customFormat="false" ht="15" hidden="false" customHeight="false" outlineLevel="0" collapsed="false">
      <c r="A86" s="32" t="s">
        <v>189</v>
      </c>
      <c r="B86" s="25" t="s">
        <v>190</v>
      </c>
    </row>
  </sheetData>
  <mergeCells count="18">
    <mergeCell ref="A2:X2"/>
    <mergeCell ref="A3:C3"/>
    <mergeCell ref="A5:H6"/>
    <mergeCell ref="I5:R5"/>
    <mergeCell ref="S5:AB5"/>
    <mergeCell ref="AC5:AL5"/>
    <mergeCell ref="AM5:AV5"/>
    <mergeCell ref="AW5:BF5"/>
    <mergeCell ref="I6:M6"/>
    <mergeCell ref="N6:R6"/>
    <mergeCell ref="S6:W6"/>
    <mergeCell ref="X6:AB6"/>
    <mergeCell ref="AC6:AG6"/>
    <mergeCell ref="AH6:AL6"/>
    <mergeCell ref="AM6:AQ6"/>
    <mergeCell ref="AR6:AV6"/>
    <mergeCell ref="AW6:BA6"/>
    <mergeCell ref="BB6:BF6"/>
  </mergeCells>
  <conditionalFormatting sqref="I8:BF65">
    <cfRule type="expression" priority="2" aboveAverage="0" equalAverage="0" bottom="0" percent="0" rank="0" text="" dxfId="0">
      <formula>AND(I$7&gt;=$E8,I$7&lt;=$F8,$C8="Project Management")</formula>
    </cfRule>
    <cfRule type="expression" priority="3" aboveAverage="0" equalAverage="0" bottom="0" percent="0" rank="0" text="" dxfId="1">
      <formula>AND(I$7&gt;=$E8,I$7&lt;=$F8,$C8="Requirements &amp; UX")</formula>
    </cfRule>
    <cfRule type="expression" priority="4" aboveAverage="0" equalAverage="0" bottom="0" percent="0" rank="0" text="" dxfId="2">
      <formula>AND(I$7&gt;=$E8,I$7&lt;=$F8,$C8="Backend, Data &amp; Integration")</formula>
    </cfRule>
    <cfRule type="expression" priority="5" aboveAverage="0" equalAverage="0" bottom="0" percent="0" rank="0" text="" dxfId="3">
      <formula>AND(I$7&gt;=$E8,I$7&lt;=$F8,$C8="AI")</formula>
    </cfRule>
    <cfRule type="expression" priority="6" aboveAverage="0" equalAverage="0" bottom="0" percent="0" rank="0" text="" dxfId="4">
      <formula>AND(I$7&gt;=$E8,I$7&lt;=$F8,$C8="Frontend")</formula>
    </cfRule>
    <cfRule type="expression" priority="7" aboveAverage="0" equalAverage="0" bottom="0" percent="0" rank="0" text="" dxfId="5">
      <formula>AND(I$7&gt;=$E8,I$7&lt;=$F8,$C8="Testing &amp; QA")</formula>
    </cfRule>
    <cfRule type="expression" priority="8" aboveAverage="0" equalAverage="0" bottom="0" percent="0" rank="0" text="" dxfId="6">
      <formula>AND(I$7&gt;=$E8,I$7&lt;=$F8,$C8="Release &amp; Documentation")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&amp;CSimulated self-directed portfolio project -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2026-10-17T05:36:28Z</dcterms:created>
  <dc:creator>openpyxl</dc:creator>
  <dc:description/>
  <dc:language>en-US</dc:language>
  <cp:lastModifiedBy/>
  <dcterms:modified xsi:type="dcterms:W3CDTF">2026-10-17T05:36:29Z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