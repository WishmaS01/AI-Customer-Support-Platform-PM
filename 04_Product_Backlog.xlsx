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Backlog" sheetId="1" state="visible" r:id="rId3"/>
    <sheet name="Summary" sheetId="2" state="visible" r:id="rId4"/>
  </sheets>
  <definedNames>
    <definedName function="false" hidden="false" localSheetId="0" name="_xlnm.Print_Titles" vbProcedure="false">'Product Backlog'!$5:$5</definedName>
    <definedName function="false" hidden="true" localSheetId="0" name="_xlnm._FilterDatabase" vbProcedure="false">'Product Backlog'!$A$5:$K$40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<sst xmlns="http://schemas.openxmlformats.org/spreadsheetml/2006/main" count="383" uniqueCount="203">
  <si>
    <t xml:space="preserve">Product Backlog - AI Customer Support Platform (MVP)</t>
  </si>
  <si>
    <t xml:space="preserve">SIMULATED PROJECT - Self-directed portfolio case study. Not professional experience, not client work, not employment. All people, figures and outcomes are fictional.</t>
  </si>
  <si>
    <t xml:space="preserve">Baseline v1.0 prepared in Weeks 1-2 and ordered by planned sprint. Story points are relative estimates (Fibonacci, max 8) from the simulated team's planning. Status shows backlog readiness at baseline (Draft / Refined / Ready). Priority uses MoSCoW against the 10-week MVP. Post-MVP items sit at the bottom and are excluded from totals.</t>
  </si>
  <si>
    <t xml:space="preserve">ID</t>
  </si>
  <si>
    <t xml:space="preserve">Epic ID</t>
  </si>
  <si>
    <t xml:space="preserve">Epic</t>
  </si>
  <si>
    <t xml:space="preserve">User Story</t>
  </si>
  <si>
    <t xml:space="preserve">Priority</t>
  </si>
  <si>
    <t xml:space="preserve">Story Points</t>
  </si>
  <si>
    <t xml:space="preserve">Sprint</t>
  </si>
  <si>
    <t xml:space="preserve">Dependency</t>
  </si>
  <si>
    <t xml:space="preserve">Acceptance Criteria</t>
  </si>
  <si>
    <t xml:space="preserve">Req. Ref.</t>
  </si>
  <si>
    <t xml:space="preserve">Status</t>
  </si>
  <si>
    <t xml:space="preserve">US-01</t>
  </si>
  <si>
    <t xml:space="preserve">EP-1</t>
  </si>
  <si>
    <t xml:space="preserve">Platform Foundation &amp; DevOps</t>
  </si>
  <si>
    <t xml:space="preserve">As a developer, I want automated dev/staging/production environments with a CI/CD pipeline, so that every change is built, tested and released consistently.</t>
  </si>
  <si>
    <t xml:space="preserve">Must</t>
  </si>
  <si>
    <t xml:space="preserve">None</t>
  </si>
  <si>
    <t xml:space="preserve">1) Given a merged pull request, when the pipeline runs, then build, lint and unit tests execute and the build deploys to staging automatically.
2) Given a failing test, when the pipeline runs, then deployment is blocked and the team is notified.
3) Given the three environments, then each has its own secrets and database, and TLS is enabled.</t>
  </si>
  <si>
    <t xml:space="preserve">NFR-07, TR-01, TR-02, SR-01</t>
  </si>
  <si>
    <t xml:space="preserve">Ready</t>
  </si>
  <si>
    <t xml:space="preserve">US-02</t>
  </si>
  <si>
    <t xml:space="preserve">As a developer, I want a versioned core data model for users, articles, conversations, messages, escalations and events, so that all features share one consistent schema.</t>
  </si>
  <si>
    <t xml:space="preserve">1) Given an empty database, when migrations run, then all core tables are created with no manual steps.
2) Given a stored conversation, then each message keeps text, timestamp, citations and the model/prompt version used.
3) Given the staging database, then encryption at rest and daily backups are enabled.</t>
  </si>
  <si>
    <t xml:space="preserve">NFR-09, TR-03, SR-01, AIR-08</t>
  </si>
  <si>
    <t xml:space="preserve">US-03</t>
  </si>
  <si>
    <t xml:space="preserve">As the Product Owner, I want a clickable prototype of the chat, admin, agent-console and dashboard screens, so that usability issues are found before development starts.</t>
  </si>
  <si>
    <t xml:space="preserve">1) Given the prototype, then every MVP screen has a wireframe including empty, loading and error states.
2) Given the four core user flows (ask a question, escalate, publish an article, resolve an escalation), then each can be clicked through end-to-end.
3) Given the prototype, then the Product Owner approves it as part of the UX baseline (M2).</t>
  </si>
  <si>
    <t xml:space="preserve">NFR-04</t>
  </si>
  <si>
    <t xml:space="preserve">US-04</t>
  </si>
  <si>
    <t xml:space="preserve">EP-2</t>
  </si>
  <si>
    <t xml:space="preserve">Identity, Access &amp; Security</t>
  </si>
  <si>
    <t xml:space="preserve">As a Support Agent, Manager or Admin, I want to sign in with my work email and password, so that only authorised staff can use internal tools.</t>
  </si>
  <si>
    <t xml:space="preserve">1) Given valid credentials, when I sign in, then I reach my home screen and the session expires after 30 minutes of inactivity.
2) Given 5 consecutive failed attempts, then the account is locked for 15 minutes.
3) Given any stored password, then it is hashed with bcrypt or argon2 and never written to logs.</t>
  </si>
  <si>
    <t xml:space="preserve">FR-01, SR-02</t>
  </si>
  <si>
    <t xml:space="preserve">US-05</t>
  </si>
  <si>
    <t xml:space="preserve">As an Admin, I want role-based access (Customer, Agent, Manager, Admin), so that each user only sees what their role allows.</t>
  </si>
  <si>
    <t xml:space="preserve">1) Given the permission matrix, when a user calls an endpoint outside their role, then the API returns 403 and the attempt is logged.
2) Given two customer accounts, then neither can read the other's conversations.
3) Given an Admin, when they assign or revoke a staff role, then the change applies at next sign-in.</t>
  </si>
  <si>
    <t xml:space="preserve">FR-02, SR-06</t>
  </si>
  <si>
    <t xml:space="preserve">US-11</t>
  </si>
  <si>
    <t xml:space="preserve">EP-4</t>
  </si>
  <si>
    <t xml:space="preserve">AI Assistant (RAG)</t>
  </si>
  <si>
    <t xml:space="preserve">As the Product Owner, I want a time-boxed evaluation of LLM and embedding options, so that we choose a provider based on answer quality, cost, latency and data-handling terms.</t>
  </si>
  <si>
    <t xml:space="preserve">1) Given a 30-question sample, then at least 2 LLM and 2 embedding options are scored on quality, latency, cost per 1,000 conversations and data terms.
2) Given the results, then a recommendation plus a fallback option is approved by the Product Owner and the Security &amp; Privacy Officer by end of Sprint 1.
3) Given the 7-working-day time-box, then the spike ends with a documented decision rather than a prototype.</t>
  </si>
  <si>
    <t xml:space="preserve">TR-04, AIR-06</t>
  </si>
  <si>
    <t xml:space="preserve">US-09</t>
  </si>
  <si>
    <t xml:space="preserve">EP-3</t>
  </si>
  <si>
    <t xml:space="preserve">Knowledge Base Management</t>
  </si>
  <si>
    <t xml:space="preserve">As an Admin, I want to create, edit, publish and unpublish knowledge-base articles, so that the AI assistant answers from current, approved content.</t>
  </si>
  <si>
    <t xml:space="preserve">US-02, US-05</t>
  </si>
  <si>
    <t xml:space="preserve">1) Given a saved draft, then it is invisible to the AI; given a published article, then it is searchable by the AI within 5 minutes.
2) Given an article, then title, category, body and review date are mandatory and validation messages are shown.
3) Given an unpublish action, then the article stops appearing in AI answers within 5 minutes.</t>
  </si>
  <si>
    <t xml:space="preserve">FR-04, FR-06</t>
  </si>
  <si>
    <t xml:space="preserve">US-10</t>
  </si>
  <si>
    <t xml:space="preserve">As an Admin, I want to bulk-import articles from CSV or Markdown files, so that the existing help-center articles can be loaded without manual re-entry.</t>
  </si>
  <si>
    <t xml:space="preserve">Should</t>
  </si>
  <si>
    <t xml:space="preserve">1) Given a valid file of 300 rows, when I import, then all rows are created and a summary shows imported and rejected counts.
2) Given invalid rows, then they are rejected with row number and reason while valid rows still import.
3) Given imported articles, then they default to Draft until an Admin publishes them.</t>
  </si>
  <si>
    <t xml:space="preserve">FR-05</t>
  </si>
  <si>
    <t xml:space="preserve">US-12</t>
  </si>
  <si>
    <t xml:space="preserve">As an Admin, I want published articles to be processed into a searchable index automatically, so that the assistant can retrieve relevant content.</t>
  </si>
  <si>
    <t xml:space="preserve">US-02, US-11</t>
  </si>
  <si>
    <t xml:space="preserve">1) Given a published article, then it is chunked, embedded and searchable within 5 minutes.
2) Given an unpublished or deleted article, then its chunks are removed from the index within 5 minutes.
3) Given the full article set, then a re-index job rebuilds the index in under 30 minutes.</t>
  </si>
  <si>
    <t xml:space="preserve">FR-06, TR-03</t>
  </si>
  <si>
    <t xml:space="preserve">US-13</t>
  </si>
  <si>
    <t xml:space="preserve">As a Customer, I want clear answers with links to the articles they come from, so that I can trust and verify the answer.</t>
  </si>
  <si>
    <t xml:space="preserve">1) Given a question covered by the KB, then the answer is generated only from retrieved passages and shows at least one source link.
2) Given any answer, then the model, prompt and retrieval-settings versions are stored with it.
3) Given a conversation, then a per-conversation token cap is enforced and response time is logged.</t>
  </si>
  <si>
    <t xml:space="preserve">FR-07, TR-04, TR-05, AIR-01, AIR-07, AIR-08</t>
  </si>
  <si>
    <t xml:space="preserve">US-14</t>
  </si>
  <si>
    <t xml:space="preserve">As a Customer, I want the assistant to admit when it does not know and offer a human, so that I never receive a made-up answer.</t>
  </si>
  <si>
    <t xml:space="preserve">1) Given retrieval confidence below the threshold, then the assistant shows the fallback message and offers escalation instead of an answer.
2) Given an out-of-scope request (legal advice, refund approval, account-specific action), then the assistant declines and offers escalation.
3) Given the unanswerable questions in the golden set, then at least 95% trigger the fallback.</t>
  </si>
  <si>
    <t xml:space="preserve">FR-08, FR-09, AIR-03, AIR-04</t>
  </si>
  <si>
    <t xml:space="preserve">US-15</t>
  </si>
  <si>
    <t xml:space="preserve">As the Product Owner, I want a golden set of at least 100 reviewed questions and an evaluation routine, so that answer quality is measured objectively every sprint.</t>
  </si>
  <si>
    <t xml:space="preserve">1) Given the golden set, then it holds at least 100 questions including 20 unanswerable and 10 adversarial ones, each with an approved reference article.
2) Given the evaluation script, then it outputs accuracy, grounded-answer rate and fallback rate in one report.
3) Given the Sprint 2 build, then the script runs end-to-end and results are shared at the Sprint 2 review.</t>
  </si>
  <si>
    <t xml:space="preserve">AIR-02, AIR-03</t>
  </si>
  <si>
    <t xml:space="preserve">US-06</t>
  </si>
  <si>
    <t xml:space="preserve">As a Customer, I want to sign in with my email and a one-time code, so that I can chat and see my history without remembering a password.</t>
  </si>
  <si>
    <t xml:space="preserve">1) Given a valid code entered within 10 minutes, then I am signed in and the code cannot be reused.
2) Given an expired, reused or wrong code, then I see a clear error, and after 5 attempts I must request a new code.
3) Given 50 staging test sends, then at least 98% of codes arrive within 60 seconds.</t>
  </si>
  <si>
    <t xml:space="preserve">FR-03, TR-06</t>
  </si>
  <si>
    <t xml:space="preserve">Refined</t>
  </si>
  <si>
    <t xml:space="preserve">US-16</t>
  </si>
  <si>
    <t xml:space="preserve">EP-5</t>
  </si>
  <si>
    <t xml:space="preserve">Customer Chat Experience</t>
  </si>
  <si>
    <t xml:space="preserve">As a Customer, I want a simple chat window where I can ask a question and see the answer with sources, so that I get help without waiting for an email reply.</t>
  </si>
  <si>
    <t xml:space="preserve">US-03, US-06, US-13</t>
  </si>
  <si>
    <t xml:space="preserve">1) Given I am signed in, when I send a question, then I see a typing indicator, an answer labelled as AI, and its sources.
2) Given any point in the conversation, then a 'Talk to a person' option is visible.
3) Given the latest Chrome, Edge, Safari and Firefox and a 360px-wide screen, then the chat works, is keyboard-navigable and meets WCAG AA contrast on key screens.</t>
  </si>
  <si>
    <t xml:space="preserve">FR-11, NFR-05, NFR-06, TR-05, AIR-05</t>
  </si>
  <si>
    <t xml:space="preserve">US-17</t>
  </si>
  <si>
    <t xml:space="preserve">As a Customer, I want to rate an answer and optionally add a comment, so that I can help improve answers.</t>
  </si>
  <si>
    <t xml:space="preserve">1) Given an AI answer, then thumbs-up and thumbs-down controls are shown and my rating is saved (changeable).
2) Given a thumbs-down, then I can add an optional comment (max 500 characters) or jump to 'Talk to a person'.
3) Given a rating, then a feedback event is recorded against the answer ID.</t>
  </si>
  <si>
    <t xml:space="preserve">FR-12</t>
  </si>
  <si>
    <t xml:space="preserve">US-18</t>
  </si>
  <si>
    <t xml:space="preserve">As a Customer, I want to see my conversations from the last 30 days, so that I can re-read or continue earlier help.</t>
  </si>
  <si>
    <t xml:space="preserve">US-02, US-16</t>
  </si>
  <si>
    <t xml:space="preserve">1) Given I am signed in, then I see only my own conversations, newest first.
2) Given a past conversation, when I open it, then I see the full transcript including sources.
3) Given a conversation older than 30 days, then it is not shown to me.</t>
  </si>
  <si>
    <t xml:space="preserve">FR-13</t>
  </si>
  <si>
    <t xml:space="preserve">US-19</t>
  </si>
  <si>
    <t xml:space="preserve">EP-6</t>
  </si>
  <si>
    <t xml:space="preserve">Escalation &amp; Agent Console</t>
  </si>
  <si>
    <t xml:space="preserve">As a Customer, I want to ask for a human agent at any time, so that complex issues are handled by a person.</t>
  </si>
  <si>
    <t xml:space="preserve">US-14, US-16</t>
  </si>
  <si>
    <t xml:space="preserve">1) Given I click 'Talk to a person', then an escalation record is created and I see confirmation and the expected response time.
2) Given a fallback answer or two consecutive thumbs-down ratings, then escalation is proactively offered.
3) Given an escalation, then the full transcript and detected category are attached so I do not need to repeat myself.</t>
  </si>
  <si>
    <t xml:space="preserve">FR-14, AIR-05</t>
  </si>
  <si>
    <t xml:space="preserve">US-25</t>
  </si>
  <si>
    <t xml:space="preserve">EP-8</t>
  </si>
  <si>
    <t xml:space="preserve">Privacy &amp; Data Protection</t>
  </si>
  <si>
    <t xml:space="preserve">As the Security &amp; Privacy Officer, I want personal data removed from customer messages before they reach the AI provider, so that we minimise personal data shared with third parties.</t>
  </si>
  <si>
    <t xml:space="preserve">1) Given a seeded test set of emails, phone numbers and card-number patterns, then 100% are replaced by placeholders in the outgoing LLM prompt.
2) Given a redacted prompt, then the original message remains in the access-controlled conversation record.
3) Given a redaction failure, then the LLM call is blocked and the customer is offered escalation.</t>
  </si>
  <si>
    <t xml:space="preserve">FR-10, AIR-06</t>
  </si>
  <si>
    <t xml:space="preserve">US-07</t>
  </si>
  <si>
    <t xml:space="preserve">As the Security &amp; Privacy Officer, I want baseline security controls on every endpoint, so that the platform has no critical or high vulnerabilities at go-live.</t>
  </si>
  <si>
    <t xml:space="preserve">US-04, US-05</t>
  </si>
  <si>
    <t xml:space="preserve">1) Given the auth and chat endpoints, then rate limits apply (for example 30 chat messages per minute per user).
2) Given each CI run, then dependency and vulnerability scans execute and critical/high findings are fixed or formally risk-accepted.
3) Given at least 20 prompt-injection and input-validation test cases, then all pass; and no secret exists in the repository.</t>
  </si>
  <si>
    <t xml:space="preserve">TR-07, SR-03, SR-04, SR-05</t>
  </si>
  <si>
    <t xml:space="preserve">Draft</t>
  </si>
  <si>
    <t xml:space="preserve">US-20</t>
  </si>
  <si>
    <t xml:space="preserve">As a Support Agent, I want a queue of escalated conversations with transcript and waiting time, so that I can pick the most urgent ones.</t>
  </si>
  <si>
    <t xml:space="preserve">US-19, US-05</t>
  </si>
  <si>
    <t xml:space="preserve">1) Given open escalations, then the queue lists them oldest first with category and waiting time.
2) Given an item, when I open it, then I see the full transcript including AI answers and sources.
3) Given an item I claim, then other agents see it as claimed and cannot reply to it.</t>
  </si>
  <si>
    <t xml:space="preserve">FR-15</t>
  </si>
  <si>
    <t xml:space="preserve">US-21</t>
  </si>
  <si>
    <t xml:space="preserve">As a Support Agent, I want to reply to the customer and mark the conversation resolved, so that the issue is closed inside the platform.</t>
  </si>
  <si>
    <t xml:space="preserve">1) Given a claimed item, when I send a reply, then it is saved in the transcript.
2) Given a resolved item, then a resolution category is mandatory and the item leaves the queue.
3) Given an item I cannot finish, then I can release it back to the queue.</t>
  </si>
  <si>
    <t xml:space="preserve">FR-16</t>
  </si>
  <si>
    <t xml:space="preserve">US-22</t>
  </si>
  <si>
    <t xml:space="preserve">As a Customer, I want to see the agent's reply in the chat and get an email if I am away, so that I do not miss the answer.</t>
  </si>
  <si>
    <t xml:space="preserve">1) Given an agent reply, then it appears in my open chat within 10 seconds and is labelled 'Support agent'.
2) Given I have been inactive for 5 minutes, then an email with a conversation link is sent within 60 seconds.
3) Given my history, then the agent reply is part of the saved transcript.</t>
  </si>
  <si>
    <t xml:space="preserve">FR-17, TR-06</t>
  </si>
  <si>
    <t xml:space="preserve">US-23</t>
  </si>
  <si>
    <t xml:space="preserve">EP-7</t>
  </si>
  <si>
    <t xml:space="preserve">Analytics &amp; Reporting</t>
  </si>
  <si>
    <t xml:space="preserve">As a Support Manager, I want key usage events recorded consistently, so that analytics reflect what really happens.</t>
  </si>
  <si>
    <t xml:space="preserve">US-16, US-19</t>
  </si>
  <si>
    <t xml:space="preserve">1) Given question asked, answer shown, feedback given, escalation created and conversation resolved, then each is stored with timestamp, conversation ID and an anonymised customer ID.
2) Given any event, then its payload contains no message text.
3) Given the staging test data set, then event counts reconcile exactly with conversation records.</t>
  </si>
  <si>
    <t xml:space="preserve">FR-18</t>
  </si>
  <si>
    <t xml:space="preserve">US-24</t>
  </si>
  <si>
    <t xml:space="preserve">As a Support Manager, I want a dashboard of volume, deflection rate, escalation rate, feedback and unanswered topics, so that I can monitor performance and decide what content to add.</t>
  </si>
  <si>
    <t xml:space="preserve">1) Given a date filter, then the dashboard shows daily/weekly volume, deflection rate (definition documented), escalation rate and positive-feedback rate.
2) Given the same dashboard, then it lists the top 10 fallback topics (questions the AI could not answer).
3) Given the QA test data set, then displayed figures match expected values and the page loads in 3 seconds or less for 30 days of data.</t>
  </si>
  <si>
    <t xml:space="preserve">FR-19, AIR-09</t>
  </si>
  <si>
    <t xml:space="preserve">US-08</t>
  </si>
  <si>
    <t xml:space="preserve">As a Support Manager, I want admin changes and transcript access to be logged, so that I can audit who changed or viewed what.</t>
  </si>
  <si>
    <t xml:space="preserve">1) Given a KB create/edit/publish/delete action, then an audit entry records user, action and time.
2) Given an agent opening a transcript, then an audit entry is recorded.
3) Given the audit log, then entries cannot be edited in the UI and Admins can filter them by date.</t>
  </si>
  <si>
    <t xml:space="preserve">FR-22</t>
  </si>
  <si>
    <t xml:space="preserve">US-26</t>
  </si>
  <si>
    <t xml:space="preserve">As the Security &amp; Privacy Officer, I want automatic retention limits and a way to delete a customer's data on request, so that we follow the company privacy policy.</t>
  </si>
  <si>
    <t xml:space="preserve">US-18, US-05</t>
  </si>
  <si>
    <t xml:space="preserve">1) Given conversations older than 90 days (configurable), then a scheduled job deletes or anonymises them (verified with an accelerated test).
2) Given a deletion request, then an Admin can remove the customer's account and conversations from the admin UI and the action is logged.
3) Given a deletion, then data is also removed from the search index and the backup-retention policy is documented.</t>
  </si>
  <si>
    <t xml:space="preserve">FR-20, FR-21</t>
  </si>
  <si>
    <t xml:space="preserve">US-27</t>
  </si>
  <si>
    <t xml:space="preserve">EP-9</t>
  </si>
  <si>
    <t xml:space="preserve">Release Readiness</t>
  </si>
  <si>
    <t xml:space="preserve">As the Product Owner, I want the platform load-tested against the performance targets, so that the pilot does not degrade under realistic usage.</t>
  </si>
  <si>
    <t xml:space="preserve">US-22, US-24</t>
  </si>
  <si>
    <t xml:space="preserve">1) Given 50 concurrent sessions for 30 minutes, then p95 response time is 8 seconds or less and the error rate is below 1%.
2) Given the test, then bottlenecks and fixes are documented in a short report.
3) Given an LLM rate-limit response, then the platform shows a graceful fallback message and offers escalation.</t>
  </si>
  <si>
    <t xml:space="preserve">NFR-01, NFR-03</t>
  </si>
  <si>
    <t xml:space="preserve">US-28</t>
  </si>
  <si>
    <t xml:space="preserve">As the Support Manager, I want to verify the platform against real support scenarios in UAT, so that we confirm it meets business needs before the pilot.</t>
  </si>
  <si>
    <t xml:space="preserve">US-07, US-16, US-21, US-22, US-24, US-25</t>
  </si>
  <si>
    <t xml:space="preserve">1) Given the UAT plan, then at least 95% of test cases are executed and passed and no Critical or High defects remain open.
2) Given the UAT team, then at least 3 support agents, the Support Manager and the KB Admin take part.
3) Given UAT completion, then a written sign-off (M6) lists any accepted known issues.</t>
  </si>
  <si>
    <t xml:space="preserve">All FR (verification)</t>
  </si>
  <si>
    <t xml:space="preserve">US-29</t>
  </si>
  <si>
    <t xml:space="preserve">As the Executive Sponsor, I want a safe production release with monitoring and a tested rollback, so that the pilot starts without disrupting customers.</t>
  </si>
  <si>
    <t xml:space="preserve">US-01, US-27</t>
  </si>
  <si>
    <t xml:space="preserve">1) Given the production pipeline, then a rollback has been rehearsed successfully in staging.
2) Given monitoring, then alerts exist for error rate, latency and LLM spend at 70% and 90% of budget and have been test-fired.
3) Given the Go/No-Go checklist, then it is reviewed and signed before release.</t>
  </si>
  <si>
    <t xml:space="preserve">NFR-02, NFR-08, TR-02, AIR-07</t>
  </si>
  <si>
    <t xml:space="preserve">US-30</t>
  </si>
  <si>
    <t xml:space="preserve">As a Support Agent or Admin, I want short practical guides and a training session, so that I can use the platform confidently from day one.</t>
  </si>
  <si>
    <t xml:space="preserve">US-09, US-21</t>
  </si>
  <si>
    <t xml:space="preserve">1) Given the guides, then an Admin guide and an Agent guide of at most 6 pages each are published.
2) Given a 60-minute training session, then at least 90% of attendees complete the practice tasks.
3) Given the guides, then a one-page 'what the AI can and cannot answer' reference is included.</t>
  </si>
  <si>
    <t xml:space="preserve">US-31</t>
  </si>
  <si>
    <t xml:space="preserve">As an Admin, I want version history and restore for KB articles, so that I can undo a bad edit.</t>
  </si>
  <si>
    <t xml:space="preserve">Could</t>
  </si>
  <si>
    <t xml:space="preserve">TBD</t>
  </si>
  <si>
    <t xml:space="preserve">Post-MVP</t>
  </si>
  <si>
    <t xml:space="preserve">Post-MVP. Could Have - first candidate if capacity appears.</t>
  </si>
  <si>
    <t xml:space="preserve">-</t>
  </si>
  <si>
    <t xml:space="preserve">Parked</t>
  </si>
  <si>
    <t xml:space="preserve">US-32</t>
  </si>
  <si>
    <t xml:space="preserve">As a Support Manager, I want negative customer sentiment to trigger automatic escalation, so that frustrated customers reach a person sooner.</t>
  </si>
  <si>
    <t xml:space="preserve">Post-MVP. Needs sentiment evaluation; MVP uses explicit request and low-confidence triggers only.</t>
  </si>
  <si>
    <t xml:space="preserve">US-33</t>
  </si>
  <si>
    <t xml:space="preserve">As an Agent, I want escalations synced to our existing helpdesk/CRM, so that I work in one tool.</t>
  </si>
  <si>
    <t xml:space="preserve">Won't</t>
  </si>
  <si>
    <t xml:space="preserve">Won't Have (this release). Integration risk too high for 10 weeks; MVP agent console is standalone.</t>
  </si>
  <si>
    <t xml:space="preserve">US-34</t>
  </si>
  <si>
    <t xml:space="preserve">As a Customer, I want to chat in Spanish, so that I can use my preferred language.</t>
  </si>
  <si>
    <t xml:space="preserve">Won't Have (this release). Raised as CR-001, assessed and deferred - see 21_Change_Request.</t>
  </si>
  <si>
    <t xml:space="preserve">US-35</t>
  </si>
  <si>
    <t xml:space="preserve">As a Customer, I want to reach support from a mobile app or by voice, so that I can get help on the move.</t>
  </si>
  <si>
    <t xml:space="preserve">Won't Have (this release). Web chat is responsive; no native app or voice channel.</t>
  </si>
  <si>
    <t xml:space="preserve">Backlog Summary (formula-driven from 'Product Backlog')</t>
  </si>
  <si>
    <t xml:space="preserve">All figures recalculate if stories, points, sprints or priorities are edited.</t>
  </si>
  <si>
    <t xml:space="preserve">Stories</t>
  </si>
  <si>
    <t xml:space="preserve">Must SP</t>
  </si>
  <si>
    <t xml:space="preserve">Should SP</t>
  </si>
  <si>
    <t xml:space="preserve">Cumulative SP</t>
  </si>
  <si>
    <t xml:space="preserve">Share of MVP SP</t>
  </si>
  <si>
    <t xml:space="preserve">Total MVP</t>
  </si>
  <si>
    <t xml:space="preserve">By priority (MoSCoW)</t>
  </si>
  <si>
    <t xml:space="preserve">By epic</t>
  </si>
  <si>
    <t xml:space="preserve">Stories (MVP)</t>
  </si>
  <si>
    <t xml:space="preserve">Total</t>
  </si>
</sst>
</file>

<file path=xl/styles.xml><?xml version="1.0" encoding="utf-8"?>
<styleSheet xmlns="http://schemas.openxmlformats.org/spreadsheetml/2006/main">
  <numFmts count="2">
    <numFmt numFmtId="164" formatCode="General"/>
    <numFmt numFmtId="165" formatCode="0.0%"/>
  </numFmts>
  <fonts count="12">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b val="true"/>
      <sz val="9"/>
      <color rgb="FF9C0006"/>
      <name val="Arial"/>
      <family val="0"/>
      <charset val="1"/>
    </font>
    <font>
      <i val="true"/>
      <sz val="9"/>
      <color rgb="FF7F7F7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b val="true"/>
      <sz val="11"/>
      <color rgb="FF1F3864"/>
      <name val="Arial"/>
      <family val="0"/>
      <charset val="1"/>
    </font>
    <font>
      <b val="true"/>
      <sz val="10"/>
      <color rgb="FF006100"/>
      <name val="Arial"/>
      <family val="0"/>
      <charset val="1"/>
    </font>
  </fonts>
  <fills count="6">
    <fill>
      <patternFill patternType="none"/>
    </fill>
    <fill>
      <patternFill patternType="gray125"/>
    </fill>
    <fill>
      <patternFill patternType="solid">
        <fgColor rgb="FFFFF2CC"/>
        <bgColor rgb="FFF5F8FC"/>
      </patternFill>
    </fill>
    <fill>
      <patternFill patternType="solid">
        <fgColor rgb="FF1F3864"/>
        <bgColor rgb="FF333399"/>
      </patternFill>
    </fill>
    <fill>
      <patternFill patternType="solid">
        <fgColor rgb="FFF5F8FC"/>
        <bgColor rgb="FFFFFFFF"/>
      </patternFill>
    </fill>
    <fill>
      <patternFill patternType="solid">
        <fgColor rgb="FFDCE6F2"/>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5" fontId="8" fillId="5" borderId="1" xfId="0" applyFont="true" applyBorder="true" applyAlignment="true" applyProtection="false">
      <alignment horizontal="center"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fgColor rgb="FFF5F8F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BDD7EE"/>
          <bgColor rgb="FF000000"/>
        </patternFill>
      </fill>
    </dxf>
    <dxf>
      <fill>
        <patternFill patternType="solid">
          <fgColor rgb="FFD9D9D9"/>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404040"/>
          <bgColor rgb="FF000000"/>
        </patternFill>
      </fill>
    </dxf>
    <dxf>
      <fill>
        <patternFill patternType="solid">
          <fgColor rgb="FF6B5200"/>
          <bgColor rgb="FF000000"/>
        </patternFill>
      </fill>
    </dxf>
    <dxf>
      <fill>
        <patternFill patternType="solid">
          <fgColor rgb="FF7B1E00"/>
          <bgColor rgb="FF000000"/>
        </patternFill>
      </fill>
    </dxf>
    <dxf>
      <font>
        <name val="Arial"/>
        <charset val="1"/>
        <family val="0"/>
        <b val="1"/>
        <color rgb="FF7B1E00"/>
      </font>
      <fill>
        <patternFill>
          <bgColor rgb="FFF8CBAD"/>
        </patternFill>
      </fill>
    </dxf>
    <dxf>
      <font>
        <name val="Arial"/>
        <charset val="1"/>
        <family val="0"/>
        <b val="1"/>
        <color rgb="FF6B5200"/>
      </font>
      <fill>
        <patternFill>
          <bgColor rgb="FFFFE699"/>
        </patternFill>
      </fill>
    </dxf>
    <dxf>
      <font>
        <name val="Arial"/>
        <charset val="1"/>
        <family val="0"/>
        <b val="1"/>
        <color rgb="FF1F3864"/>
      </font>
      <fill>
        <patternFill>
          <bgColor rgb="FFBDD7EE"/>
        </patternFill>
      </fill>
    </dxf>
    <dxf>
      <font>
        <name val="Arial"/>
        <charset val="1"/>
        <family val="0"/>
        <b val="1"/>
        <color rgb="FF404040"/>
      </font>
      <fill>
        <patternFill>
          <bgColor rgb="FFD9D9D9"/>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6B5200"/>
      <rgbColor rgb="FF800080"/>
      <rgbColor rgb="FF008080"/>
      <rgbColor rgb="FFBFBFBF"/>
      <rgbColor rgb="FF7F7F7F"/>
      <rgbColor rgb="FF9999FF"/>
      <rgbColor rgb="FF993366"/>
      <rgbColor rgb="FFFFF2CC"/>
      <rgbColor rgb="FFDCE6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5F8FC"/>
      <rgbColor rgb="FFD9D9D9"/>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7B1E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40"/>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24"/>
    <col collapsed="false" customWidth="true" hidden="false" outlineLevel="0" max="4" min="4" style="0" width="58"/>
    <col collapsed="false" customWidth="true" hidden="false" outlineLevel="0" max="5" min="5" style="0" width="10"/>
    <col collapsed="false" customWidth="true" hidden="false" outlineLevel="0" max="6" min="6" style="0" width="9"/>
    <col collapsed="false" customWidth="true" hidden="false" outlineLevel="0" max="7" min="7" style="0" width="10"/>
    <col collapsed="false" customWidth="true" hidden="false" outlineLevel="0" max="8" min="8" style="0" width="16"/>
    <col collapsed="false" customWidth="true" hidden="false" outlineLevel="0" max="9" min="9" style="0" width="72"/>
    <col collapsed="false" customWidth="true" hidden="false" outlineLevel="0" max="10" min="10" style="0" width="20"/>
    <col collapsed="false" customWidth="true" hidden="false" outlineLevel="0" max="11" min="11" style="0" width="11"/>
  </cols>
  <sheetData>
    <row r="1" customFormat="false" ht="24" hidden="false" customHeight="true" outlineLevel="0" collapsed="false">
      <c r="A1" s="1" t="s">
        <v>0</v>
      </c>
    </row>
    <row r="2" customFormat="false" ht="25.5" hidden="false" customHeight="true" outlineLevel="0" collapsed="false">
      <c r="A2" s="2" t="s">
        <v>1</v>
      </c>
      <c r="B2" s="2"/>
      <c r="C2" s="2"/>
      <c r="D2" s="2"/>
      <c r="E2" s="2"/>
      <c r="F2" s="2"/>
      <c r="G2" s="2"/>
      <c r="H2" s="2"/>
      <c r="I2" s="2"/>
      <c r="J2" s="2"/>
      <c r="K2" s="2"/>
    </row>
    <row r="3" customFormat="false" ht="40.5" hidden="false" customHeight="true" outlineLevel="0" collapsed="false">
      <c r="A3" s="3" t="s">
        <v>2</v>
      </c>
      <c r="B3" s="3"/>
      <c r="C3" s="3"/>
      <c r="D3" s="3"/>
      <c r="E3" s="3"/>
      <c r="F3" s="3"/>
      <c r="G3" s="3"/>
      <c r="H3" s="3"/>
      <c r="I3" s="3"/>
      <c r="J3" s="3"/>
      <c r="K3" s="3"/>
    </row>
    <row r="5" customFormat="false" ht="30" hidden="false" customHeight="true" outlineLevel="0" collapsed="false">
      <c r="A5" s="4" t="s">
        <v>3</v>
      </c>
      <c r="B5" s="4" t="s">
        <v>4</v>
      </c>
      <c r="C5" s="4" t="s">
        <v>5</v>
      </c>
      <c r="D5" s="4" t="s">
        <v>6</v>
      </c>
      <c r="E5" s="4" t="s">
        <v>7</v>
      </c>
      <c r="F5" s="4" t="s">
        <v>8</v>
      </c>
      <c r="G5" s="4" t="s">
        <v>9</v>
      </c>
      <c r="H5" s="4" t="s">
        <v>10</v>
      </c>
      <c r="I5" s="4" t="s">
        <v>11</v>
      </c>
      <c r="J5" s="4" t="s">
        <v>12</v>
      </c>
      <c r="K5" s="4" t="s">
        <v>13</v>
      </c>
    </row>
    <row r="6" customFormat="false" ht="79.5" hidden="false" customHeight="true" outlineLevel="0" collapsed="false">
      <c r="A6" s="5" t="s">
        <v>14</v>
      </c>
      <c r="B6" s="6" t="s">
        <v>15</v>
      </c>
      <c r="C6" s="7" t="s">
        <v>16</v>
      </c>
      <c r="D6" s="7" t="s">
        <v>17</v>
      </c>
      <c r="E6" s="6" t="s">
        <v>18</v>
      </c>
      <c r="F6" s="6" t="n">
        <v>5</v>
      </c>
      <c r="G6" s="6" t="n">
        <v>1</v>
      </c>
      <c r="H6" s="7" t="s">
        <v>19</v>
      </c>
      <c r="I6" s="7" t="s">
        <v>20</v>
      </c>
      <c r="J6" s="7" t="s">
        <v>21</v>
      </c>
      <c r="K6" s="6" t="s">
        <v>22</v>
      </c>
    </row>
    <row r="7" customFormat="false" ht="79.5" hidden="false" customHeight="true" outlineLevel="0" collapsed="false">
      <c r="A7" s="8" t="s">
        <v>23</v>
      </c>
      <c r="B7" s="9" t="s">
        <v>15</v>
      </c>
      <c r="C7" s="10" t="s">
        <v>16</v>
      </c>
      <c r="D7" s="10" t="s">
        <v>24</v>
      </c>
      <c r="E7" s="9" t="s">
        <v>18</v>
      </c>
      <c r="F7" s="9" t="n">
        <v>5</v>
      </c>
      <c r="G7" s="9" t="n">
        <v>1</v>
      </c>
      <c r="H7" s="10" t="s">
        <v>19</v>
      </c>
      <c r="I7" s="10" t="s">
        <v>25</v>
      </c>
      <c r="J7" s="10" t="s">
        <v>26</v>
      </c>
      <c r="K7" s="9" t="s">
        <v>22</v>
      </c>
    </row>
    <row r="8" customFormat="false" ht="79.5" hidden="false" customHeight="true" outlineLevel="0" collapsed="false">
      <c r="A8" s="5" t="s">
        <v>27</v>
      </c>
      <c r="B8" s="6" t="s">
        <v>15</v>
      </c>
      <c r="C8" s="7" t="s">
        <v>16</v>
      </c>
      <c r="D8" s="7" t="s">
        <v>28</v>
      </c>
      <c r="E8" s="6" t="s">
        <v>18</v>
      </c>
      <c r="F8" s="6" t="n">
        <v>5</v>
      </c>
      <c r="G8" s="6" t="n">
        <v>1</v>
      </c>
      <c r="H8" s="7" t="s">
        <v>19</v>
      </c>
      <c r="I8" s="7" t="s">
        <v>29</v>
      </c>
      <c r="J8" s="7" t="s">
        <v>30</v>
      </c>
      <c r="K8" s="6" t="s">
        <v>22</v>
      </c>
    </row>
    <row r="9" customFormat="false" ht="79.5" hidden="false" customHeight="true" outlineLevel="0" collapsed="false">
      <c r="A9" s="8" t="s">
        <v>31</v>
      </c>
      <c r="B9" s="9" t="s">
        <v>32</v>
      </c>
      <c r="C9" s="10" t="s">
        <v>33</v>
      </c>
      <c r="D9" s="10" t="s">
        <v>34</v>
      </c>
      <c r="E9" s="9" t="s">
        <v>18</v>
      </c>
      <c r="F9" s="9" t="n">
        <v>5</v>
      </c>
      <c r="G9" s="9" t="n">
        <v>1</v>
      </c>
      <c r="H9" s="10" t="s">
        <v>23</v>
      </c>
      <c r="I9" s="10" t="s">
        <v>35</v>
      </c>
      <c r="J9" s="10" t="s">
        <v>36</v>
      </c>
      <c r="K9" s="9" t="s">
        <v>22</v>
      </c>
    </row>
    <row r="10" customFormat="false" ht="66.75" hidden="false" customHeight="true" outlineLevel="0" collapsed="false">
      <c r="A10" s="5" t="s">
        <v>37</v>
      </c>
      <c r="B10" s="6" t="s">
        <v>32</v>
      </c>
      <c r="C10" s="7" t="s">
        <v>33</v>
      </c>
      <c r="D10" s="7" t="s">
        <v>38</v>
      </c>
      <c r="E10" s="6" t="s">
        <v>18</v>
      </c>
      <c r="F10" s="6" t="n">
        <v>3</v>
      </c>
      <c r="G10" s="6" t="n">
        <v>1</v>
      </c>
      <c r="H10" s="7" t="s">
        <v>31</v>
      </c>
      <c r="I10" s="7" t="s">
        <v>39</v>
      </c>
      <c r="J10" s="7" t="s">
        <v>40</v>
      </c>
      <c r="K10" s="6" t="s">
        <v>22</v>
      </c>
    </row>
    <row r="11" customFormat="false" ht="79.5" hidden="false" customHeight="true" outlineLevel="0" collapsed="false">
      <c r="A11" s="8" t="s">
        <v>41</v>
      </c>
      <c r="B11" s="9" t="s">
        <v>42</v>
      </c>
      <c r="C11" s="10" t="s">
        <v>43</v>
      </c>
      <c r="D11" s="10" t="s">
        <v>44</v>
      </c>
      <c r="E11" s="9" t="s">
        <v>18</v>
      </c>
      <c r="F11" s="9" t="n">
        <v>5</v>
      </c>
      <c r="G11" s="9" t="n">
        <v>1</v>
      </c>
      <c r="H11" s="10" t="s">
        <v>19</v>
      </c>
      <c r="I11" s="10" t="s">
        <v>45</v>
      </c>
      <c r="J11" s="10" t="s">
        <v>46</v>
      </c>
      <c r="K11" s="9" t="s">
        <v>22</v>
      </c>
    </row>
    <row r="12" customFormat="false" ht="79.5" hidden="false" customHeight="true" outlineLevel="0" collapsed="false">
      <c r="A12" s="5" t="s">
        <v>47</v>
      </c>
      <c r="B12" s="6" t="s">
        <v>48</v>
      </c>
      <c r="C12" s="7" t="s">
        <v>49</v>
      </c>
      <c r="D12" s="7" t="s">
        <v>50</v>
      </c>
      <c r="E12" s="6" t="s">
        <v>18</v>
      </c>
      <c r="F12" s="6" t="n">
        <v>5</v>
      </c>
      <c r="G12" s="6" t="n">
        <v>2</v>
      </c>
      <c r="H12" s="7" t="s">
        <v>51</v>
      </c>
      <c r="I12" s="7" t="s">
        <v>52</v>
      </c>
      <c r="J12" s="7" t="s">
        <v>53</v>
      </c>
      <c r="K12" s="6" t="s">
        <v>22</v>
      </c>
    </row>
    <row r="13" customFormat="false" ht="79.5" hidden="false" customHeight="true" outlineLevel="0" collapsed="false">
      <c r="A13" s="8" t="s">
        <v>54</v>
      </c>
      <c r="B13" s="9" t="s">
        <v>48</v>
      </c>
      <c r="C13" s="10" t="s">
        <v>49</v>
      </c>
      <c r="D13" s="10" t="s">
        <v>55</v>
      </c>
      <c r="E13" s="9" t="s">
        <v>56</v>
      </c>
      <c r="F13" s="9" t="n">
        <v>5</v>
      </c>
      <c r="G13" s="9" t="n">
        <v>2</v>
      </c>
      <c r="H13" s="10" t="s">
        <v>47</v>
      </c>
      <c r="I13" s="10" t="s">
        <v>57</v>
      </c>
      <c r="J13" s="10" t="s">
        <v>58</v>
      </c>
      <c r="K13" s="9" t="s">
        <v>22</v>
      </c>
    </row>
    <row r="14" customFormat="false" ht="79.5" hidden="false" customHeight="true" outlineLevel="0" collapsed="false">
      <c r="A14" s="5" t="s">
        <v>59</v>
      </c>
      <c r="B14" s="6" t="s">
        <v>42</v>
      </c>
      <c r="C14" s="7" t="s">
        <v>43</v>
      </c>
      <c r="D14" s="7" t="s">
        <v>60</v>
      </c>
      <c r="E14" s="6" t="s">
        <v>18</v>
      </c>
      <c r="F14" s="6" t="n">
        <v>8</v>
      </c>
      <c r="G14" s="6" t="n">
        <v>2</v>
      </c>
      <c r="H14" s="7" t="s">
        <v>61</v>
      </c>
      <c r="I14" s="7" t="s">
        <v>62</v>
      </c>
      <c r="J14" s="7" t="s">
        <v>63</v>
      </c>
      <c r="K14" s="6" t="s">
        <v>22</v>
      </c>
    </row>
    <row r="15" customFormat="false" ht="79.5" hidden="false" customHeight="true" outlineLevel="0" collapsed="false">
      <c r="A15" s="8" t="s">
        <v>64</v>
      </c>
      <c r="B15" s="9" t="s">
        <v>42</v>
      </c>
      <c r="C15" s="10" t="s">
        <v>43</v>
      </c>
      <c r="D15" s="10" t="s">
        <v>65</v>
      </c>
      <c r="E15" s="9" t="s">
        <v>18</v>
      </c>
      <c r="F15" s="9" t="n">
        <v>8</v>
      </c>
      <c r="G15" s="9" t="n">
        <v>2</v>
      </c>
      <c r="H15" s="10" t="s">
        <v>59</v>
      </c>
      <c r="I15" s="10" t="s">
        <v>66</v>
      </c>
      <c r="J15" s="10" t="s">
        <v>67</v>
      </c>
      <c r="K15" s="9" t="s">
        <v>22</v>
      </c>
    </row>
    <row r="16" customFormat="false" ht="79.5" hidden="false" customHeight="true" outlineLevel="0" collapsed="false">
      <c r="A16" s="5" t="s">
        <v>68</v>
      </c>
      <c r="B16" s="6" t="s">
        <v>42</v>
      </c>
      <c r="C16" s="7" t="s">
        <v>43</v>
      </c>
      <c r="D16" s="7" t="s">
        <v>69</v>
      </c>
      <c r="E16" s="6" t="s">
        <v>18</v>
      </c>
      <c r="F16" s="6" t="n">
        <v>5</v>
      </c>
      <c r="G16" s="6" t="n">
        <v>2</v>
      </c>
      <c r="H16" s="7" t="s">
        <v>64</v>
      </c>
      <c r="I16" s="7" t="s">
        <v>70</v>
      </c>
      <c r="J16" s="7" t="s">
        <v>71</v>
      </c>
      <c r="K16" s="6" t="s">
        <v>22</v>
      </c>
    </row>
    <row r="17" customFormat="false" ht="79.5" hidden="false" customHeight="true" outlineLevel="0" collapsed="false">
      <c r="A17" s="8" t="s">
        <v>72</v>
      </c>
      <c r="B17" s="9" t="s">
        <v>42</v>
      </c>
      <c r="C17" s="10" t="s">
        <v>43</v>
      </c>
      <c r="D17" s="10" t="s">
        <v>73</v>
      </c>
      <c r="E17" s="9" t="s">
        <v>18</v>
      </c>
      <c r="F17" s="9" t="n">
        <v>5</v>
      </c>
      <c r="G17" s="9" t="n">
        <v>2</v>
      </c>
      <c r="H17" s="10" t="s">
        <v>47</v>
      </c>
      <c r="I17" s="10" t="s">
        <v>74</v>
      </c>
      <c r="J17" s="10" t="s">
        <v>75</v>
      </c>
      <c r="K17" s="9" t="s">
        <v>22</v>
      </c>
    </row>
    <row r="18" customFormat="false" ht="79.5" hidden="false" customHeight="true" outlineLevel="0" collapsed="false">
      <c r="A18" s="5" t="s">
        <v>76</v>
      </c>
      <c r="B18" s="6" t="s">
        <v>32</v>
      </c>
      <c r="C18" s="7" t="s">
        <v>33</v>
      </c>
      <c r="D18" s="7" t="s">
        <v>77</v>
      </c>
      <c r="E18" s="6" t="s">
        <v>18</v>
      </c>
      <c r="F18" s="6" t="n">
        <v>5</v>
      </c>
      <c r="G18" s="6" t="n">
        <v>3</v>
      </c>
      <c r="H18" s="7" t="s">
        <v>23</v>
      </c>
      <c r="I18" s="7" t="s">
        <v>78</v>
      </c>
      <c r="J18" s="7" t="s">
        <v>79</v>
      </c>
      <c r="K18" s="6" t="s">
        <v>80</v>
      </c>
    </row>
    <row r="19" customFormat="false" ht="91.5" hidden="false" customHeight="true" outlineLevel="0" collapsed="false">
      <c r="A19" s="8" t="s">
        <v>81</v>
      </c>
      <c r="B19" s="9" t="s">
        <v>82</v>
      </c>
      <c r="C19" s="10" t="s">
        <v>83</v>
      </c>
      <c r="D19" s="10" t="s">
        <v>84</v>
      </c>
      <c r="E19" s="9" t="s">
        <v>18</v>
      </c>
      <c r="F19" s="9" t="n">
        <v>8</v>
      </c>
      <c r="G19" s="9" t="n">
        <v>3</v>
      </c>
      <c r="H19" s="10" t="s">
        <v>85</v>
      </c>
      <c r="I19" s="10" t="s">
        <v>86</v>
      </c>
      <c r="J19" s="10" t="s">
        <v>87</v>
      </c>
      <c r="K19" s="9" t="s">
        <v>80</v>
      </c>
    </row>
    <row r="20" customFormat="false" ht="66.75" hidden="false" customHeight="true" outlineLevel="0" collapsed="false">
      <c r="A20" s="5" t="s">
        <v>88</v>
      </c>
      <c r="B20" s="6" t="s">
        <v>82</v>
      </c>
      <c r="C20" s="7" t="s">
        <v>83</v>
      </c>
      <c r="D20" s="7" t="s">
        <v>89</v>
      </c>
      <c r="E20" s="6" t="s">
        <v>56</v>
      </c>
      <c r="F20" s="6" t="n">
        <v>3</v>
      </c>
      <c r="G20" s="6" t="n">
        <v>3</v>
      </c>
      <c r="H20" s="7" t="s">
        <v>81</v>
      </c>
      <c r="I20" s="7" t="s">
        <v>90</v>
      </c>
      <c r="J20" s="7" t="s">
        <v>91</v>
      </c>
      <c r="K20" s="6" t="s">
        <v>80</v>
      </c>
    </row>
    <row r="21" customFormat="false" ht="54" hidden="false" customHeight="true" outlineLevel="0" collapsed="false">
      <c r="A21" s="8" t="s">
        <v>92</v>
      </c>
      <c r="B21" s="9" t="s">
        <v>82</v>
      </c>
      <c r="C21" s="10" t="s">
        <v>83</v>
      </c>
      <c r="D21" s="10" t="s">
        <v>93</v>
      </c>
      <c r="E21" s="9" t="s">
        <v>18</v>
      </c>
      <c r="F21" s="9" t="n">
        <v>5</v>
      </c>
      <c r="G21" s="9" t="n">
        <v>3</v>
      </c>
      <c r="H21" s="10" t="s">
        <v>94</v>
      </c>
      <c r="I21" s="10" t="s">
        <v>95</v>
      </c>
      <c r="J21" s="10" t="s">
        <v>96</v>
      </c>
      <c r="K21" s="9" t="s">
        <v>80</v>
      </c>
    </row>
    <row r="22" customFormat="false" ht="79.5" hidden="false" customHeight="true" outlineLevel="0" collapsed="false">
      <c r="A22" s="5" t="s">
        <v>97</v>
      </c>
      <c r="B22" s="6" t="s">
        <v>98</v>
      </c>
      <c r="C22" s="7" t="s">
        <v>99</v>
      </c>
      <c r="D22" s="7" t="s">
        <v>100</v>
      </c>
      <c r="E22" s="6" t="s">
        <v>18</v>
      </c>
      <c r="F22" s="6" t="n">
        <v>8</v>
      </c>
      <c r="G22" s="6" t="n">
        <v>3</v>
      </c>
      <c r="H22" s="7" t="s">
        <v>101</v>
      </c>
      <c r="I22" s="7" t="s">
        <v>102</v>
      </c>
      <c r="J22" s="7" t="s">
        <v>103</v>
      </c>
      <c r="K22" s="6" t="s">
        <v>80</v>
      </c>
    </row>
    <row r="23" customFormat="false" ht="79.5" hidden="false" customHeight="true" outlineLevel="0" collapsed="false">
      <c r="A23" s="8" t="s">
        <v>104</v>
      </c>
      <c r="B23" s="9" t="s">
        <v>105</v>
      </c>
      <c r="C23" s="10" t="s">
        <v>106</v>
      </c>
      <c r="D23" s="10" t="s">
        <v>107</v>
      </c>
      <c r="E23" s="9" t="s">
        <v>18</v>
      </c>
      <c r="F23" s="9" t="n">
        <v>5</v>
      </c>
      <c r="G23" s="9" t="n">
        <v>3</v>
      </c>
      <c r="H23" s="10" t="s">
        <v>64</v>
      </c>
      <c r="I23" s="10" t="s">
        <v>108</v>
      </c>
      <c r="J23" s="10" t="s">
        <v>109</v>
      </c>
      <c r="K23" s="9" t="s">
        <v>80</v>
      </c>
    </row>
    <row r="24" customFormat="false" ht="79.5" hidden="false" customHeight="true" outlineLevel="0" collapsed="false">
      <c r="A24" s="5" t="s">
        <v>110</v>
      </c>
      <c r="B24" s="6" t="s">
        <v>32</v>
      </c>
      <c r="C24" s="7" t="s">
        <v>33</v>
      </c>
      <c r="D24" s="7" t="s">
        <v>111</v>
      </c>
      <c r="E24" s="6" t="s">
        <v>18</v>
      </c>
      <c r="F24" s="6" t="n">
        <v>5</v>
      </c>
      <c r="G24" s="6" t="n">
        <v>4</v>
      </c>
      <c r="H24" s="7" t="s">
        <v>112</v>
      </c>
      <c r="I24" s="7" t="s">
        <v>113</v>
      </c>
      <c r="J24" s="7" t="s">
        <v>114</v>
      </c>
      <c r="K24" s="6" t="s">
        <v>115</v>
      </c>
    </row>
    <row r="25" customFormat="false" ht="79.5" hidden="false" customHeight="true" outlineLevel="0" collapsed="false">
      <c r="A25" s="8" t="s">
        <v>116</v>
      </c>
      <c r="B25" s="9" t="s">
        <v>98</v>
      </c>
      <c r="C25" s="10" t="s">
        <v>99</v>
      </c>
      <c r="D25" s="10" t="s">
        <v>117</v>
      </c>
      <c r="E25" s="9" t="s">
        <v>18</v>
      </c>
      <c r="F25" s="9" t="n">
        <v>5</v>
      </c>
      <c r="G25" s="9" t="n">
        <v>4</v>
      </c>
      <c r="H25" s="10" t="s">
        <v>118</v>
      </c>
      <c r="I25" s="10" t="s">
        <v>119</v>
      </c>
      <c r="J25" s="10" t="s">
        <v>120</v>
      </c>
      <c r="K25" s="9" t="s">
        <v>115</v>
      </c>
    </row>
    <row r="26" customFormat="false" ht="66.75" hidden="false" customHeight="true" outlineLevel="0" collapsed="false">
      <c r="A26" s="5" t="s">
        <v>121</v>
      </c>
      <c r="B26" s="6" t="s">
        <v>98</v>
      </c>
      <c r="C26" s="7" t="s">
        <v>99</v>
      </c>
      <c r="D26" s="7" t="s">
        <v>122</v>
      </c>
      <c r="E26" s="6" t="s">
        <v>18</v>
      </c>
      <c r="F26" s="6" t="n">
        <v>8</v>
      </c>
      <c r="G26" s="6" t="n">
        <v>4</v>
      </c>
      <c r="H26" s="7" t="s">
        <v>116</v>
      </c>
      <c r="I26" s="7" t="s">
        <v>123</v>
      </c>
      <c r="J26" s="7" t="s">
        <v>124</v>
      </c>
      <c r="K26" s="6" t="s">
        <v>115</v>
      </c>
    </row>
    <row r="27" customFormat="false" ht="66.75" hidden="false" customHeight="true" outlineLevel="0" collapsed="false">
      <c r="A27" s="8" t="s">
        <v>125</v>
      </c>
      <c r="B27" s="9" t="s">
        <v>98</v>
      </c>
      <c r="C27" s="10" t="s">
        <v>99</v>
      </c>
      <c r="D27" s="10" t="s">
        <v>126</v>
      </c>
      <c r="E27" s="9" t="s">
        <v>18</v>
      </c>
      <c r="F27" s="9" t="n">
        <v>5</v>
      </c>
      <c r="G27" s="9" t="n">
        <v>4</v>
      </c>
      <c r="H27" s="10" t="s">
        <v>121</v>
      </c>
      <c r="I27" s="10" t="s">
        <v>127</v>
      </c>
      <c r="J27" s="10" t="s">
        <v>128</v>
      </c>
      <c r="K27" s="9" t="s">
        <v>115</v>
      </c>
    </row>
    <row r="28" customFormat="false" ht="79.5" hidden="false" customHeight="true" outlineLevel="0" collapsed="false">
      <c r="A28" s="5" t="s">
        <v>129</v>
      </c>
      <c r="B28" s="6" t="s">
        <v>130</v>
      </c>
      <c r="C28" s="7" t="s">
        <v>131</v>
      </c>
      <c r="D28" s="7" t="s">
        <v>132</v>
      </c>
      <c r="E28" s="6" t="s">
        <v>18</v>
      </c>
      <c r="F28" s="6" t="n">
        <v>3</v>
      </c>
      <c r="G28" s="6" t="n">
        <v>4</v>
      </c>
      <c r="H28" s="7" t="s">
        <v>133</v>
      </c>
      <c r="I28" s="7" t="s">
        <v>134</v>
      </c>
      <c r="J28" s="7" t="s">
        <v>135</v>
      </c>
      <c r="K28" s="6" t="s">
        <v>115</v>
      </c>
    </row>
    <row r="29" customFormat="false" ht="79.5" hidden="false" customHeight="true" outlineLevel="0" collapsed="false">
      <c r="A29" s="8" t="s">
        <v>136</v>
      </c>
      <c r="B29" s="9" t="s">
        <v>130</v>
      </c>
      <c r="C29" s="10" t="s">
        <v>131</v>
      </c>
      <c r="D29" s="10" t="s">
        <v>137</v>
      </c>
      <c r="E29" s="9" t="s">
        <v>18</v>
      </c>
      <c r="F29" s="9" t="n">
        <v>8</v>
      </c>
      <c r="G29" s="9" t="n">
        <v>4</v>
      </c>
      <c r="H29" s="10" t="s">
        <v>129</v>
      </c>
      <c r="I29" s="10" t="s">
        <v>138</v>
      </c>
      <c r="J29" s="10" t="s">
        <v>139</v>
      </c>
      <c r="K29" s="9" t="s">
        <v>115</v>
      </c>
    </row>
    <row r="30" customFormat="false" ht="66.75" hidden="false" customHeight="true" outlineLevel="0" collapsed="false">
      <c r="A30" s="5" t="s">
        <v>140</v>
      </c>
      <c r="B30" s="6" t="s">
        <v>32</v>
      </c>
      <c r="C30" s="7" t="s">
        <v>33</v>
      </c>
      <c r="D30" s="7" t="s">
        <v>141</v>
      </c>
      <c r="E30" s="6" t="s">
        <v>56</v>
      </c>
      <c r="F30" s="6" t="n">
        <v>3</v>
      </c>
      <c r="G30" s="6" t="n">
        <v>5</v>
      </c>
      <c r="H30" s="7" t="s">
        <v>37</v>
      </c>
      <c r="I30" s="7" t="s">
        <v>142</v>
      </c>
      <c r="J30" s="7" t="s">
        <v>143</v>
      </c>
      <c r="K30" s="6" t="s">
        <v>115</v>
      </c>
    </row>
    <row r="31" customFormat="false" ht="79.5" hidden="false" customHeight="true" outlineLevel="0" collapsed="false">
      <c r="A31" s="8" t="s">
        <v>144</v>
      </c>
      <c r="B31" s="9" t="s">
        <v>105</v>
      </c>
      <c r="C31" s="10" t="s">
        <v>106</v>
      </c>
      <c r="D31" s="10" t="s">
        <v>145</v>
      </c>
      <c r="E31" s="9" t="s">
        <v>18</v>
      </c>
      <c r="F31" s="9" t="n">
        <v>5</v>
      </c>
      <c r="G31" s="9" t="n">
        <v>5</v>
      </c>
      <c r="H31" s="10" t="s">
        <v>146</v>
      </c>
      <c r="I31" s="10" t="s">
        <v>147</v>
      </c>
      <c r="J31" s="10" t="s">
        <v>148</v>
      </c>
      <c r="K31" s="9" t="s">
        <v>115</v>
      </c>
    </row>
    <row r="32" customFormat="false" ht="66.75" hidden="false" customHeight="true" outlineLevel="0" collapsed="false">
      <c r="A32" s="5" t="s">
        <v>149</v>
      </c>
      <c r="B32" s="6" t="s">
        <v>150</v>
      </c>
      <c r="C32" s="7" t="s">
        <v>151</v>
      </c>
      <c r="D32" s="7" t="s">
        <v>152</v>
      </c>
      <c r="E32" s="6" t="s">
        <v>18</v>
      </c>
      <c r="F32" s="6" t="n">
        <v>5</v>
      </c>
      <c r="G32" s="6" t="n">
        <v>5</v>
      </c>
      <c r="H32" s="7" t="s">
        <v>153</v>
      </c>
      <c r="I32" s="7" t="s">
        <v>154</v>
      </c>
      <c r="J32" s="7" t="s">
        <v>155</v>
      </c>
      <c r="K32" s="6" t="s">
        <v>115</v>
      </c>
    </row>
    <row r="33" customFormat="false" ht="79.5" hidden="false" customHeight="true" outlineLevel="0" collapsed="false">
      <c r="A33" s="8" t="s">
        <v>156</v>
      </c>
      <c r="B33" s="9" t="s">
        <v>150</v>
      </c>
      <c r="C33" s="10" t="s">
        <v>151</v>
      </c>
      <c r="D33" s="10" t="s">
        <v>157</v>
      </c>
      <c r="E33" s="9" t="s">
        <v>18</v>
      </c>
      <c r="F33" s="9" t="n">
        <v>8</v>
      </c>
      <c r="G33" s="9" t="n">
        <v>5</v>
      </c>
      <c r="H33" s="10" t="s">
        <v>158</v>
      </c>
      <c r="I33" s="10" t="s">
        <v>159</v>
      </c>
      <c r="J33" s="10" t="s">
        <v>160</v>
      </c>
      <c r="K33" s="9" t="s">
        <v>115</v>
      </c>
    </row>
    <row r="34" customFormat="false" ht="66.75" hidden="false" customHeight="true" outlineLevel="0" collapsed="false">
      <c r="A34" s="5" t="s">
        <v>161</v>
      </c>
      <c r="B34" s="6" t="s">
        <v>150</v>
      </c>
      <c r="C34" s="7" t="s">
        <v>151</v>
      </c>
      <c r="D34" s="7" t="s">
        <v>162</v>
      </c>
      <c r="E34" s="6" t="s">
        <v>18</v>
      </c>
      <c r="F34" s="6" t="n">
        <v>5</v>
      </c>
      <c r="G34" s="6" t="n">
        <v>5</v>
      </c>
      <c r="H34" s="7" t="s">
        <v>163</v>
      </c>
      <c r="I34" s="7" t="s">
        <v>164</v>
      </c>
      <c r="J34" s="7" t="s">
        <v>165</v>
      </c>
      <c r="K34" s="6" t="s">
        <v>115</v>
      </c>
    </row>
    <row r="35" customFormat="false" ht="79.5" hidden="false" customHeight="true" outlineLevel="0" collapsed="false">
      <c r="A35" s="8" t="s">
        <v>166</v>
      </c>
      <c r="B35" s="9" t="s">
        <v>150</v>
      </c>
      <c r="C35" s="10" t="s">
        <v>151</v>
      </c>
      <c r="D35" s="10" t="s">
        <v>167</v>
      </c>
      <c r="E35" s="9" t="s">
        <v>56</v>
      </c>
      <c r="F35" s="9" t="n">
        <v>3</v>
      </c>
      <c r="G35" s="9" t="n">
        <v>5</v>
      </c>
      <c r="H35" s="10" t="s">
        <v>168</v>
      </c>
      <c r="I35" s="10" t="s">
        <v>169</v>
      </c>
      <c r="J35" s="10" t="s">
        <v>30</v>
      </c>
      <c r="K35" s="9" t="s">
        <v>115</v>
      </c>
    </row>
    <row r="36" customFormat="false" ht="28.5" hidden="false" customHeight="true" outlineLevel="0" collapsed="false">
      <c r="A36" s="5" t="s">
        <v>170</v>
      </c>
      <c r="B36" s="6" t="s">
        <v>48</v>
      </c>
      <c r="C36" s="7" t="s">
        <v>49</v>
      </c>
      <c r="D36" s="7" t="s">
        <v>171</v>
      </c>
      <c r="E36" s="6" t="s">
        <v>172</v>
      </c>
      <c r="F36" s="6" t="s">
        <v>173</v>
      </c>
      <c r="G36" s="6" t="s">
        <v>174</v>
      </c>
      <c r="H36" s="7" t="s">
        <v>47</v>
      </c>
      <c r="I36" s="7" t="s">
        <v>175</v>
      </c>
      <c r="J36" s="7" t="s">
        <v>176</v>
      </c>
      <c r="K36" s="6" t="s">
        <v>177</v>
      </c>
    </row>
    <row r="37" customFormat="false" ht="41.25" hidden="false" customHeight="true" outlineLevel="0" collapsed="false">
      <c r="A37" s="8" t="s">
        <v>178</v>
      </c>
      <c r="B37" s="9" t="s">
        <v>98</v>
      </c>
      <c r="C37" s="10" t="s">
        <v>99</v>
      </c>
      <c r="D37" s="10" t="s">
        <v>179</v>
      </c>
      <c r="E37" s="9" t="s">
        <v>172</v>
      </c>
      <c r="F37" s="9" t="s">
        <v>173</v>
      </c>
      <c r="G37" s="9" t="s">
        <v>174</v>
      </c>
      <c r="H37" s="10" t="s">
        <v>97</v>
      </c>
      <c r="I37" s="10" t="s">
        <v>180</v>
      </c>
      <c r="J37" s="10" t="s">
        <v>176</v>
      </c>
      <c r="K37" s="9" t="s">
        <v>177</v>
      </c>
    </row>
    <row r="38" customFormat="false" ht="28.5" hidden="false" customHeight="true" outlineLevel="0" collapsed="false">
      <c r="A38" s="5" t="s">
        <v>181</v>
      </c>
      <c r="B38" s="6" t="s">
        <v>98</v>
      </c>
      <c r="C38" s="7" t="s">
        <v>99</v>
      </c>
      <c r="D38" s="7" t="s">
        <v>182</v>
      </c>
      <c r="E38" s="6" t="s">
        <v>183</v>
      </c>
      <c r="F38" s="6" t="s">
        <v>173</v>
      </c>
      <c r="G38" s="6" t="s">
        <v>174</v>
      </c>
      <c r="H38" s="7" t="s">
        <v>121</v>
      </c>
      <c r="I38" s="7" t="s">
        <v>184</v>
      </c>
      <c r="J38" s="7" t="s">
        <v>176</v>
      </c>
      <c r="K38" s="6" t="s">
        <v>177</v>
      </c>
    </row>
    <row r="39" customFormat="false" ht="28.5" hidden="false" customHeight="true" outlineLevel="0" collapsed="false">
      <c r="A39" s="8" t="s">
        <v>185</v>
      </c>
      <c r="B39" s="9" t="s">
        <v>82</v>
      </c>
      <c r="C39" s="10" t="s">
        <v>83</v>
      </c>
      <c r="D39" s="10" t="s">
        <v>186</v>
      </c>
      <c r="E39" s="9" t="s">
        <v>183</v>
      </c>
      <c r="F39" s="9" t="s">
        <v>173</v>
      </c>
      <c r="G39" s="9" t="s">
        <v>174</v>
      </c>
      <c r="H39" s="10" t="s">
        <v>64</v>
      </c>
      <c r="I39" s="10" t="s">
        <v>187</v>
      </c>
      <c r="J39" s="10" t="s">
        <v>176</v>
      </c>
      <c r="K39" s="9" t="s">
        <v>177</v>
      </c>
    </row>
    <row r="40" customFormat="false" ht="28.5" hidden="false" customHeight="true" outlineLevel="0" collapsed="false">
      <c r="A40" s="5" t="s">
        <v>188</v>
      </c>
      <c r="B40" s="6" t="s">
        <v>82</v>
      </c>
      <c r="C40" s="7" t="s">
        <v>83</v>
      </c>
      <c r="D40" s="7" t="s">
        <v>189</v>
      </c>
      <c r="E40" s="6" t="s">
        <v>183</v>
      </c>
      <c r="F40" s="6" t="s">
        <v>173</v>
      </c>
      <c r="G40" s="6" t="s">
        <v>174</v>
      </c>
      <c r="H40" s="7" t="s">
        <v>81</v>
      </c>
      <c r="I40" s="7" t="s">
        <v>190</v>
      </c>
      <c r="J40" s="7" t="s">
        <v>176</v>
      </c>
      <c r="K40" s="6" t="s">
        <v>177</v>
      </c>
    </row>
  </sheetData>
  <autoFilter ref="A5:K40"/>
  <mergeCells count="2">
    <mergeCell ref="A2:K2"/>
    <mergeCell ref="A3:K3"/>
  </mergeCells>
  <conditionalFormatting sqref="E6:E40">
    <cfRule type="expression" priority="2" aboveAverage="0" equalAverage="0" bottom="0" percent="0" rank="0" text="" dxfId="12">
      <formula>E6="Must"</formula>
    </cfRule>
    <cfRule type="expression" priority="3" aboveAverage="0" equalAverage="0" bottom="0" percent="0" rank="0" text="" dxfId="13">
      <formula>E6="Should"</formula>
    </cfRule>
    <cfRule type="expression" priority="4" aboveAverage="0" equalAverage="0" bottom="0" percent="0" rank="0" text="" dxfId="14">
      <formula>E6="Could"</formula>
    </cfRule>
    <cfRule type="expression" priority="5" aboveAverage="0" equalAverage="0" bottom="0" percent="0" rank="0" text="" dxfId="15">
      <formula>E6="Won't"</formula>
    </cfRule>
  </conditionalFormatting>
  <dataValidations count="2">
    <dataValidation allowBlank="true" error="Choose a value from the list" errorStyle="stop" operator="between" showDropDown="false" showErrorMessage="false" showInputMessage="false" sqref="K6:K40" type="list">
      <formula1>"Draft,Refined,Ready,In Progress,Done,Parked"</formula1>
      <formula2>0</formula2>
    </dataValidation>
    <dataValidation allowBlank="true" error="Choose a value from the list" errorStyle="stop" operator="between" showDropDown="false" showErrorMessage="false" showInputMessage="false" sqref="E6:E40" type="list">
      <formula1>"Must,Should,Could,Won't"</formula1>
      <formula2>0</formula2>
    </dataValidation>
  </dataValidations>
  <printOptions headings="false" gridLines="false" gridLinesSet="true" horizontalCentered="true" verticalCentered="false"/>
  <pageMargins left="0.4" right="0.4" top="0.5" bottom="0.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&amp;C&amp;8 Simulated self-directed portfolio project - 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5" min="3" style="0" width="14"/>
    <col collapsed="false" customWidth="true" hidden="false" outlineLevel="0" max="7" min="6" style="0" width="16"/>
  </cols>
  <sheetData>
    <row r="1" customFormat="false" ht="24" hidden="false" customHeight="true" outlineLevel="0" collapsed="false">
      <c r="A1" s="1" t="s">
        <v>191</v>
      </c>
    </row>
    <row r="2" customFormat="false" ht="25.5" hidden="false" customHeight="true" outlineLevel="0" collapsed="false">
      <c r="A2" s="2" t="s">
        <v>1</v>
      </c>
      <c r="B2" s="2"/>
      <c r="C2" s="2"/>
      <c r="D2" s="2"/>
      <c r="E2" s="2"/>
      <c r="F2" s="2"/>
      <c r="G2" s="2"/>
    </row>
    <row r="3" customFormat="false" ht="15" hidden="false" customHeight="true" outlineLevel="0" collapsed="false">
      <c r="A3" s="3" t="s">
        <v>192</v>
      </c>
      <c r="B3" s="3"/>
      <c r="C3" s="3"/>
      <c r="D3" s="3"/>
      <c r="E3" s="3"/>
      <c r="F3" s="3"/>
      <c r="G3" s="3"/>
    </row>
    <row r="6" customFormat="false" ht="30" hidden="false" customHeight="true" outlineLevel="0" collapsed="false">
      <c r="A6" s="4" t="s">
        <v>9</v>
      </c>
      <c r="B6" s="4" t="s">
        <v>193</v>
      </c>
      <c r="C6" s="4" t="s">
        <v>8</v>
      </c>
      <c r="D6" s="4" t="s">
        <v>194</v>
      </c>
      <c r="E6" s="4" t="s">
        <v>195</v>
      </c>
      <c r="F6" s="4" t="s">
        <v>196</v>
      </c>
      <c r="G6" s="4" t="s">
        <v>197</v>
      </c>
    </row>
    <row r="7" customFormat="false" ht="15" hidden="false" customHeight="false" outlineLevel="0" collapsed="false">
      <c r="A7" s="6" t="n">
        <v>1</v>
      </c>
      <c r="B7" s="6" t="n">
        <f aca="false">COUNTIFS('Product Backlog'!$G$6:$G$40,A7)</f>
        <v>6</v>
      </c>
      <c r="C7" s="6" t="n">
        <f aca="false">SUMIFS('Product Backlog'!$F$6:$F$40,'Product Backlog'!$G$6:$G$40,A7)</f>
        <v>28</v>
      </c>
      <c r="D7" s="6" t="n">
        <f aca="false">SUMIFS('Product Backlog'!$F$6:$F$40,'Product Backlog'!$G$6:$G$40,A7,'Product Backlog'!$E$6:$E$40,"Must")</f>
        <v>28</v>
      </c>
      <c r="E7" s="6" t="n">
        <f aca="false">SUMIFS('Product Backlog'!$F$6:$F$40,'Product Backlog'!$G$6:$G$40,A7,'Product Backlog'!$E$6:$E$40,"Should")</f>
        <v>0</v>
      </c>
      <c r="F7" s="6" t="n">
        <f aca="false">SUM($C$7:C7)</f>
        <v>28</v>
      </c>
      <c r="G7" s="11" t="n">
        <f aca="false">C7/$C$12</f>
        <v>0.173913043478261</v>
      </c>
    </row>
    <row r="8" customFormat="false" ht="15" hidden="false" customHeight="false" outlineLevel="0" collapsed="false">
      <c r="A8" s="6" t="n">
        <v>2</v>
      </c>
      <c r="B8" s="6" t="n">
        <f aca="false">COUNTIFS('Product Backlog'!$G$6:$G$40,A8)</f>
        <v>6</v>
      </c>
      <c r="C8" s="6" t="n">
        <f aca="false">SUMIFS('Product Backlog'!$F$6:$F$40,'Product Backlog'!$G$6:$G$40,A8)</f>
        <v>36</v>
      </c>
      <c r="D8" s="6" t="n">
        <f aca="false">SUMIFS('Product Backlog'!$F$6:$F$40,'Product Backlog'!$G$6:$G$40,A8,'Product Backlog'!$E$6:$E$40,"Must")</f>
        <v>31</v>
      </c>
      <c r="E8" s="6" t="n">
        <f aca="false">SUMIFS('Product Backlog'!$F$6:$F$40,'Product Backlog'!$G$6:$G$40,A8,'Product Backlog'!$E$6:$E$40,"Should")</f>
        <v>5</v>
      </c>
      <c r="F8" s="6" t="n">
        <f aca="false">SUM($C$7:C8)</f>
        <v>64</v>
      </c>
      <c r="G8" s="11" t="n">
        <f aca="false">C8/$C$12</f>
        <v>0.22360248447205</v>
      </c>
    </row>
    <row r="9" customFormat="false" ht="15" hidden="false" customHeight="false" outlineLevel="0" collapsed="false">
      <c r="A9" s="6" t="n">
        <v>3</v>
      </c>
      <c r="B9" s="6" t="n">
        <f aca="false">COUNTIFS('Product Backlog'!$G$6:$G$40,A9)</f>
        <v>6</v>
      </c>
      <c r="C9" s="6" t="n">
        <f aca="false">SUMIFS('Product Backlog'!$F$6:$F$40,'Product Backlog'!$G$6:$G$40,A9)</f>
        <v>34</v>
      </c>
      <c r="D9" s="6" t="n">
        <f aca="false">SUMIFS('Product Backlog'!$F$6:$F$40,'Product Backlog'!$G$6:$G$40,A9,'Product Backlog'!$E$6:$E$40,"Must")</f>
        <v>31</v>
      </c>
      <c r="E9" s="6" t="n">
        <f aca="false">SUMIFS('Product Backlog'!$F$6:$F$40,'Product Backlog'!$G$6:$G$40,A9,'Product Backlog'!$E$6:$E$40,"Should")</f>
        <v>3</v>
      </c>
      <c r="F9" s="6" t="n">
        <f aca="false">SUM($C$7:C9)</f>
        <v>98</v>
      </c>
      <c r="G9" s="11" t="n">
        <f aca="false">C9/$C$12</f>
        <v>0.211180124223603</v>
      </c>
    </row>
    <row r="10" customFormat="false" ht="15" hidden="false" customHeight="false" outlineLevel="0" collapsed="false">
      <c r="A10" s="6" t="n">
        <v>4</v>
      </c>
      <c r="B10" s="6" t="n">
        <f aca="false">COUNTIFS('Product Backlog'!$G$6:$G$40,A10)</f>
        <v>6</v>
      </c>
      <c r="C10" s="6" t="n">
        <f aca="false">SUMIFS('Product Backlog'!$F$6:$F$40,'Product Backlog'!$G$6:$G$40,A10)</f>
        <v>34</v>
      </c>
      <c r="D10" s="6" t="n">
        <f aca="false">SUMIFS('Product Backlog'!$F$6:$F$40,'Product Backlog'!$G$6:$G$40,A10,'Product Backlog'!$E$6:$E$40,"Must")</f>
        <v>34</v>
      </c>
      <c r="E10" s="6" t="n">
        <f aca="false">SUMIFS('Product Backlog'!$F$6:$F$40,'Product Backlog'!$G$6:$G$40,A10,'Product Backlog'!$E$6:$E$40,"Should")</f>
        <v>0</v>
      </c>
      <c r="F10" s="6" t="n">
        <f aca="false">SUM($C$7:C10)</f>
        <v>132</v>
      </c>
      <c r="G10" s="11" t="n">
        <f aca="false">C10/$C$12</f>
        <v>0.211180124223603</v>
      </c>
    </row>
    <row r="11" customFormat="false" ht="15" hidden="false" customHeight="false" outlineLevel="0" collapsed="false">
      <c r="A11" s="6" t="n">
        <v>5</v>
      </c>
      <c r="B11" s="6" t="n">
        <f aca="false">COUNTIFS('Product Backlog'!$G$6:$G$40,A11)</f>
        <v>6</v>
      </c>
      <c r="C11" s="6" t="n">
        <f aca="false">SUMIFS('Product Backlog'!$F$6:$F$40,'Product Backlog'!$G$6:$G$40,A11)</f>
        <v>29</v>
      </c>
      <c r="D11" s="6" t="n">
        <f aca="false">SUMIFS('Product Backlog'!$F$6:$F$40,'Product Backlog'!$G$6:$G$40,A11,'Product Backlog'!$E$6:$E$40,"Must")</f>
        <v>23</v>
      </c>
      <c r="E11" s="6" t="n">
        <f aca="false">SUMIFS('Product Backlog'!$F$6:$F$40,'Product Backlog'!$G$6:$G$40,A11,'Product Backlog'!$E$6:$E$40,"Should")</f>
        <v>6</v>
      </c>
      <c r="F11" s="6" t="n">
        <f aca="false">SUM($C$7:C11)</f>
        <v>161</v>
      </c>
      <c r="G11" s="11" t="n">
        <f aca="false">C11/$C$12</f>
        <v>0.180124223602484</v>
      </c>
    </row>
    <row r="12" customFormat="false" ht="15" hidden="false" customHeight="false" outlineLevel="0" collapsed="false">
      <c r="A12" s="12" t="s">
        <v>198</v>
      </c>
      <c r="B12" s="12" t="n">
        <f aca="false">SUM(B7:B11)</f>
        <v>30</v>
      </c>
      <c r="C12" s="12" t="n">
        <f aca="false">SUM(C7:C11)</f>
        <v>161</v>
      </c>
      <c r="D12" s="12" t="n">
        <f aca="false">SUM(D7:D11)</f>
        <v>147</v>
      </c>
      <c r="E12" s="12" t="n">
        <f aca="false">SUM(E7:E11)</f>
        <v>14</v>
      </c>
      <c r="F12" s="12" t="n">
        <f aca="false">C12</f>
        <v>161</v>
      </c>
      <c r="G12" s="13" t="n">
        <f aca="false">SUM(G7:G11)</f>
        <v>1</v>
      </c>
    </row>
    <row r="14" customFormat="false" ht="15" hidden="false" customHeight="false" outlineLevel="0" collapsed="false">
      <c r="A14" s="14" t="s">
        <v>199</v>
      </c>
    </row>
    <row r="15" customFormat="false" ht="30" hidden="false" customHeight="true" outlineLevel="0" collapsed="false">
      <c r="A15" s="4" t="s">
        <v>7</v>
      </c>
      <c r="B15" s="4" t="s">
        <v>193</v>
      </c>
      <c r="C15" s="4" t="s">
        <v>8</v>
      </c>
      <c r="D15" s="4" t="s">
        <v>197</v>
      </c>
    </row>
    <row r="16" customFormat="false" ht="15" hidden="false" customHeight="false" outlineLevel="0" collapsed="false">
      <c r="A16" s="6" t="s">
        <v>18</v>
      </c>
      <c r="B16" s="6" t="n">
        <f aca="false">COUNTIFS('Product Backlog'!$E$6:$E$40,A16)</f>
        <v>26</v>
      </c>
      <c r="C16" s="6" t="n">
        <f aca="false">SUMIFS('Product Backlog'!$F$6:$F$40,'Product Backlog'!$E$6:$E$40,A16)</f>
        <v>147</v>
      </c>
      <c r="D16" s="11" t="n">
        <f aca="false">C16/$C$12</f>
        <v>0.91304347826087</v>
      </c>
    </row>
    <row r="17" customFormat="false" ht="15" hidden="false" customHeight="false" outlineLevel="0" collapsed="false">
      <c r="A17" s="6" t="s">
        <v>56</v>
      </c>
      <c r="B17" s="6" t="n">
        <f aca="false">COUNTIFS('Product Backlog'!$E$6:$E$40,A17)</f>
        <v>4</v>
      </c>
      <c r="C17" s="6" t="n">
        <f aca="false">SUMIFS('Product Backlog'!$F$6:$F$40,'Product Backlog'!$E$6:$E$40,A17)</f>
        <v>14</v>
      </c>
      <c r="D17" s="11" t="n">
        <f aca="false">C17/$C$12</f>
        <v>0.0869565217391304</v>
      </c>
    </row>
    <row r="18" customFormat="false" ht="15" hidden="false" customHeight="false" outlineLevel="0" collapsed="false">
      <c r="A18" s="6" t="s">
        <v>172</v>
      </c>
      <c r="B18" s="6" t="n">
        <f aca="false">COUNTIFS('Product Backlog'!$E$6:$E$40,A18)</f>
        <v>2</v>
      </c>
      <c r="C18" s="6" t="n">
        <f aca="false">SUMIFS('Product Backlog'!$F$6:$F$40,'Product Backlog'!$E$6:$E$40,A18)</f>
        <v>0</v>
      </c>
      <c r="D18" s="11" t="n">
        <f aca="false">C18/$C$12</f>
        <v>0</v>
      </c>
    </row>
    <row r="19" customFormat="false" ht="15" hidden="false" customHeight="false" outlineLevel="0" collapsed="false">
      <c r="A19" s="6" t="s">
        <v>183</v>
      </c>
      <c r="B19" s="6" t="n">
        <f aca="false">COUNTIFS('Product Backlog'!$E$6:$E$40,A19)</f>
        <v>3</v>
      </c>
      <c r="C19" s="6" t="n">
        <f aca="false">SUMIFS('Product Backlog'!$F$6:$F$40,'Product Backlog'!$E$6:$E$40,A19)</f>
        <v>0</v>
      </c>
      <c r="D19" s="11" t="n">
        <f aca="false">C19/$C$12</f>
        <v>0</v>
      </c>
    </row>
    <row r="22" customFormat="false" ht="15" hidden="false" customHeight="false" outlineLevel="0" collapsed="false">
      <c r="A22" s="14" t="s">
        <v>200</v>
      </c>
    </row>
    <row r="23" customFormat="false" ht="30" hidden="false" customHeight="true" outlineLevel="0" collapsed="false">
      <c r="A23" s="4" t="s">
        <v>4</v>
      </c>
      <c r="B23" s="4" t="s">
        <v>5</v>
      </c>
      <c r="C23" s="4" t="s">
        <v>201</v>
      </c>
      <c r="D23" s="4" t="s">
        <v>8</v>
      </c>
    </row>
    <row r="24" customFormat="false" ht="15" hidden="false" customHeight="false" outlineLevel="0" collapsed="false">
      <c r="A24" s="6" t="s">
        <v>15</v>
      </c>
      <c r="B24" s="7" t="s">
        <v>16</v>
      </c>
      <c r="C24" s="6" t="n">
        <f aca="false">COUNTIFS('Product Backlog'!$B$6:$B$40,A24,'Product Backlog'!$G$6:$G$40,"&gt;0")</f>
        <v>3</v>
      </c>
      <c r="D24" s="6" t="n">
        <f aca="false">SUMIFS('Product Backlog'!$F$6:$F$40,'Product Backlog'!$B$6:$B$40,A24)</f>
        <v>15</v>
      </c>
    </row>
    <row r="25" customFormat="false" ht="15" hidden="false" customHeight="false" outlineLevel="0" collapsed="false">
      <c r="A25" s="6" t="s">
        <v>32</v>
      </c>
      <c r="B25" s="7" t="s">
        <v>33</v>
      </c>
      <c r="C25" s="6" t="n">
        <f aca="false">COUNTIFS('Product Backlog'!$B$6:$B$40,A25,'Product Backlog'!$G$6:$G$40,"&gt;0")</f>
        <v>5</v>
      </c>
      <c r="D25" s="6" t="n">
        <f aca="false">SUMIFS('Product Backlog'!$F$6:$F$40,'Product Backlog'!$B$6:$B$40,A25)</f>
        <v>21</v>
      </c>
    </row>
    <row r="26" customFormat="false" ht="15" hidden="false" customHeight="false" outlineLevel="0" collapsed="false">
      <c r="A26" s="6" t="s">
        <v>48</v>
      </c>
      <c r="B26" s="7" t="s">
        <v>49</v>
      </c>
      <c r="C26" s="6" t="n">
        <f aca="false">COUNTIFS('Product Backlog'!$B$6:$B$40,A26,'Product Backlog'!$G$6:$G$40,"&gt;0")</f>
        <v>2</v>
      </c>
      <c r="D26" s="6" t="n">
        <f aca="false">SUMIFS('Product Backlog'!$F$6:$F$40,'Product Backlog'!$B$6:$B$40,A26)</f>
        <v>10</v>
      </c>
    </row>
    <row r="27" customFormat="false" ht="15" hidden="false" customHeight="false" outlineLevel="0" collapsed="false">
      <c r="A27" s="6" t="s">
        <v>42</v>
      </c>
      <c r="B27" s="7" t="s">
        <v>43</v>
      </c>
      <c r="C27" s="6" t="n">
        <f aca="false">COUNTIFS('Product Backlog'!$B$6:$B$40,A27,'Product Backlog'!$G$6:$G$40,"&gt;0")</f>
        <v>5</v>
      </c>
      <c r="D27" s="6" t="n">
        <f aca="false">SUMIFS('Product Backlog'!$F$6:$F$40,'Product Backlog'!$B$6:$B$40,A27)</f>
        <v>31</v>
      </c>
    </row>
    <row r="28" customFormat="false" ht="15" hidden="false" customHeight="false" outlineLevel="0" collapsed="false">
      <c r="A28" s="6" t="s">
        <v>82</v>
      </c>
      <c r="B28" s="7" t="s">
        <v>83</v>
      </c>
      <c r="C28" s="6" t="n">
        <f aca="false">COUNTIFS('Product Backlog'!$B$6:$B$40,A28,'Product Backlog'!$G$6:$G$40,"&gt;0")</f>
        <v>3</v>
      </c>
      <c r="D28" s="6" t="n">
        <f aca="false">SUMIFS('Product Backlog'!$F$6:$F$40,'Product Backlog'!$B$6:$B$40,A28)</f>
        <v>16</v>
      </c>
    </row>
    <row r="29" customFormat="false" ht="15" hidden="false" customHeight="false" outlineLevel="0" collapsed="false">
      <c r="A29" s="6" t="s">
        <v>98</v>
      </c>
      <c r="B29" s="7" t="s">
        <v>99</v>
      </c>
      <c r="C29" s="6" t="n">
        <f aca="false">COUNTIFS('Product Backlog'!$B$6:$B$40,A29,'Product Backlog'!$G$6:$G$40,"&gt;0")</f>
        <v>4</v>
      </c>
      <c r="D29" s="6" t="n">
        <f aca="false">SUMIFS('Product Backlog'!$F$6:$F$40,'Product Backlog'!$B$6:$B$40,A29)</f>
        <v>26</v>
      </c>
    </row>
    <row r="30" customFormat="false" ht="15" hidden="false" customHeight="false" outlineLevel="0" collapsed="false">
      <c r="A30" s="6" t="s">
        <v>130</v>
      </c>
      <c r="B30" s="7" t="s">
        <v>131</v>
      </c>
      <c r="C30" s="6" t="n">
        <f aca="false">COUNTIFS('Product Backlog'!$B$6:$B$40,A30,'Product Backlog'!$G$6:$G$40,"&gt;0")</f>
        <v>2</v>
      </c>
      <c r="D30" s="6" t="n">
        <f aca="false">SUMIFS('Product Backlog'!$F$6:$F$40,'Product Backlog'!$B$6:$B$40,A30)</f>
        <v>11</v>
      </c>
    </row>
    <row r="31" customFormat="false" ht="15" hidden="false" customHeight="false" outlineLevel="0" collapsed="false">
      <c r="A31" s="6" t="s">
        <v>105</v>
      </c>
      <c r="B31" s="7" t="s">
        <v>106</v>
      </c>
      <c r="C31" s="6" t="n">
        <f aca="false">COUNTIFS('Product Backlog'!$B$6:$B$40,A31,'Product Backlog'!$G$6:$G$40,"&gt;0")</f>
        <v>2</v>
      </c>
      <c r="D31" s="6" t="n">
        <f aca="false">SUMIFS('Product Backlog'!$F$6:$F$40,'Product Backlog'!$B$6:$B$40,A31)</f>
        <v>10</v>
      </c>
    </row>
    <row r="32" customFormat="false" ht="15" hidden="false" customHeight="false" outlineLevel="0" collapsed="false">
      <c r="A32" s="6" t="s">
        <v>150</v>
      </c>
      <c r="B32" s="7" t="s">
        <v>151</v>
      </c>
      <c r="C32" s="6" t="n">
        <f aca="false">COUNTIFS('Product Backlog'!$B$6:$B$40,A32,'Product Backlog'!$G$6:$G$40,"&gt;0")</f>
        <v>4</v>
      </c>
      <c r="D32" s="6" t="n">
        <f aca="false">SUMIFS('Product Backlog'!$F$6:$F$40,'Product Backlog'!$B$6:$B$40,A32)</f>
        <v>21</v>
      </c>
    </row>
    <row r="33" customFormat="false" ht="15" hidden="false" customHeight="false" outlineLevel="0" collapsed="false">
      <c r="A33" s="12" t="s">
        <v>202</v>
      </c>
      <c r="B33" s="15"/>
      <c r="C33" s="12" t="n">
        <f aca="false">SUM(C24:C32)</f>
        <v>30</v>
      </c>
      <c r="D33" s="12" t="n">
        <f aca="false">SUM(D24:D32)</f>
        <v>161</v>
      </c>
      <c r="E33" s="16" t="str">
        <f aca="false">IF(D33=C12,"OK - matches sprint total","CHECK - mismatch")</f>
        <v>OK - matches sprint total</v>
      </c>
    </row>
  </sheetData>
  <mergeCells count="2">
    <mergeCell ref="A2:G2"/>
    <mergeCell ref="A3:G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2026-10-17T05:35:09Z</dcterms:created>
  <dc:creator>openpyxl</dc:creator>
  <dc:description/>
  <dc:language>en-US</dc:language>
  <cp:lastModifiedBy/>
  <dcterms:modified xsi:type="dcterms:W3CDTF">2026-10-17T05:35:09Z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