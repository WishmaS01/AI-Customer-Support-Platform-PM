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Overview" sheetId="1" state="visible" r:id="rId3"/>
    <sheet name="Sprint Backlog" sheetId="2" state="visible" r:id="rId4"/>
    <sheet name="Capacity &amp; Velocity" sheetId="3" state="visible" r:id="rId5"/>
    <sheet name="Definition of Done &amp; Ready" sheetId="4" state="visible" r:id="rId6"/>
    <sheet name="Ceremonies" sheetId="5" state="visible" r:id="rId7"/>
  </sheets>
  <definedNames>
    <definedName function="false" hidden="false" localSheetId="1" name="_xlnm.Print_Titles" vbProcedure="false">'Sprint Backlog'!$5:$5</definedName>
    <definedName function="false" hidden="true" localSheetId="1" name="_xlnm._FilterDatabase" vbProcedure="false">'Sprint Backlog'!$A$5:$I$35</definedName>
    <definedName function="false" hidden="false" localSheetId="0" name="_xlnm.Print_Titles" vbProcedure="false">'Sprint Overview'!$5:$5</definedName>
    <definedName function="false" hidden="true" localSheetId="0" name="_xlnm._FilterDatabase" vbProcedure="false">'Sprint Overview'!$A$5:$L$10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<sst xmlns="http://schemas.openxmlformats.org/spreadsheetml/2006/main" count="361" uniqueCount="237">
  <si>
    <t xml:space="preserve">Sprint Plan - AI Customer Support Platform (5 sprints x 2 weeks)</t>
  </si>
  <si>
    <t xml:space="preserve">SIMULATED PROJECT - Self-directed portfolio case study. Not professional experience, not client work, not employment. All people, figures and outcomes are fictional.</t>
  </si>
  <si>
    <t xml:space="preserve">This is a self-directed simulated PM project, and Scrum is being used as the proposed delivery methodology. No claim is made that this plan was executed in a real company. Planned stories and points are formulas on the 'Sprint Backlog' sheet. The full Product Backlog is in 04_Product_Backlog.xlsx.</t>
  </si>
  <si>
    <t xml:space="preserve">Sprint</t>
  </si>
  <si>
    <t xml:space="preserve">Start</t>
  </si>
  <si>
    <t xml:space="preserve">End</t>
  </si>
  <si>
    <t xml:space="preserve">Working days</t>
  </si>
  <si>
    <t xml:space="preserve">Theme</t>
  </si>
  <si>
    <t xml:space="preserve">Sprint goal</t>
  </si>
  <si>
    <t xml:space="preserve">Features</t>
  </si>
  <si>
    <t xml:space="preserve">Planned stories</t>
  </si>
  <si>
    <t xml:space="preserve">Planned story points</t>
  </si>
  <si>
    <t xml:space="preserve">Key dependencies</t>
  </si>
  <si>
    <t xml:space="preserve">Expected deliverables</t>
  </si>
  <si>
    <t xml:space="preserve">Review / demo</t>
  </si>
  <si>
    <t xml:space="preserve">Sprint 1</t>
  </si>
  <si>
    <t xml:space="preserve">Foundation &amp; Discovery</t>
  </si>
  <si>
    <t xml:space="preserve">Establish the delivery foundation: approved charter and requirements baseline, environments with CI/CD, core data model, staff authentication with roles, a UX prototype and an evidence-based LLM/retrieval recommendation.</t>
  </si>
  <si>
    <t xml:space="preserve">F01 Platform foundation; F02 Authentication (staff + roles); F05 UX prototype; F04 LLM/retrieval spike</t>
  </si>
  <si>
    <t xml:space="preserve">Sponsor approval of charter; cloud account and budget released; LLM provider sandbox access; Support SMEs available for interviews</t>
  </si>
  <si>
    <t xml:space="preserve">Approved Charter (M1); requirements baseline (M2); dev/staging environments + CI/CD; schema v1; staff login with RBAC; clickable prototype; LLM/embedding recommendation memo</t>
  </si>
  <si>
    <t xml:space="preserve">Sprint 2</t>
  </si>
  <si>
    <t xml:space="preserve">Knowledge Base &amp; AI Core</t>
  </si>
  <si>
    <t xml:space="preserve">Make the knowledge base usable by the AI: admins can manage and bulk-import articles, published content is indexed, and the RAG service returns cited answers or a safe fallback, measured against a 100-question golden set.</t>
  </si>
  <si>
    <t xml:space="preserve">F03 Knowledge Base Management; F04 AI Assistant (ingestion, RAG answers, guardrails, golden set)</t>
  </si>
  <si>
    <t xml:space="preserve">Sprint 1 schema and RBAC; spike recommendation approved; cleaned KB export from Support (WBS 6.3); provider API keys</t>
  </si>
  <si>
    <t xml:space="preserve">Admin KB screens (create/edit/publish/import); ingestion pipeline and vector index; RAG answer API with citations and fallback; golden set + evaluation script; KB audit report; Sprint 2 demo (M3)</t>
  </si>
  <si>
    <t xml:space="preserve">Sprint 3</t>
  </si>
  <si>
    <t xml:space="preserve">Customer Chat Experience</t>
  </si>
  <si>
    <t xml:space="preserve">Deliver the customer experience: customers sign in, chat with the assistant, see sources and history, and can request a human - with personal data redacted before any LLM call.</t>
  </si>
  <si>
    <t xml:space="preserve">F05 Customer Chat; F06 Answer Feedback; F07 Conversation History; F08 Escalation request; F04 PII redaction; F02 Customer OTP sign-in</t>
  </si>
  <si>
    <t xml:space="preserve">Sprint 2 RAG API and guardrails; design handoff (WBS 3.3); email provider domain verified; provider data-handling terms confirmed</t>
  </si>
  <si>
    <t xml:space="preserve">Working customer chat with sources and AI label; email-OTP sign-in; feedback control; conversation history; 'Talk to a person' request; PII redaction; AI evaluation run #1; Sprint 3 demo (M4)</t>
  </si>
  <si>
    <t xml:space="preserve">Sprint 4</t>
  </si>
  <si>
    <t xml:space="preserve">Human Handover, Analytics &amp; Hardening</t>
  </si>
  <si>
    <t xml:space="preserve">Close the loop with humans and measurement: agents work escalations end-to-end, customers receive replies, managers see analytics and security hardening is complete - feature complete at M5.</t>
  </si>
  <si>
    <t xml:space="preserve">F08 Agent Console and reply notifications; F09 Analytics; F10 Security hardening</t>
  </si>
  <si>
    <t xml:space="preserve">Sprint 3 escalation records; email provider for notifications; Support Manager feedback on agent workflow; UAT participants nominated</t>
  </si>
  <si>
    <t xml:space="preserve">Escalation queue + agent console; customer reply (in-chat and email); event tracking + manager dashboard; security hardening; feature-complete build (M5); UAT plan ready</t>
  </si>
  <si>
    <t xml:space="preserve">Sprint 5</t>
  </si>
  <si>
    <t xml:space="preserve">Readiness, Release &amp; Closure</t>
  </si>
  <si>
    <t xml:space="preserve">Prove readiness and release: privacy retention/deletion, audit logging, performance test, UAT sign-off, production pilot release, hypercare and project closure.</t>
  </si>
  <si>
    <t xml:space="preserve">F10 Privacy retention and deletion; F11 Audit logging; F12 Release readiness (performance, UAT, deployment); F13 Guides and training</t>
  </si>
  <si>
    <t xml:space="preserve">UAT participants; Go/No-Go attendance (Sponsor, Security &amp; Privacy Officer); production environment and monitoring ready</t>
  </si>
  <si>
    <t xml:space="preserve">UAT sign-off (M6); performance test report; runbook; admin/agent guides + training; Go/No-Go (M7); pilot release (M8); closure report (M9)</t>
  </si>
  <si>
    <t xml:space="preserve">Total</t>
  </si>
  <si>
    <t xml:space="preserve">Sprint Backlog (planned commitment per sprint)</t>
  </si>
  <si>
    <t xml:space="preserve">One row per planned story, grouped by sprint. Detailed stories and acceptance criteria: 05_User_Stories.xlsx.</t>
  </si>
  <si>
    <t xml:space="preserve">Story ID</t>
  </si>
  <si>
    <t xml:space="preserve">Deliverable</t>
  </si>
  <si>
    <t xml:space="preserve">Epic</t>
  </si>
  <si>
    <t xml:space="preserve">Priority</t>
  </si>
  <si>
    <t xml:space="preserve">Story points</t>
  </si>
  <si>
    <t xml:space="preserve">Primary role</t>
  </si>
  <si>
    <t xml:space="preserve">Depends on</t>
  </si>
  <si>
    <t xml:space="preserve">Persona</t>
  </si>
  <si>
    <t xml:space="preserve">US-01</t>
  </si>
  <si>
    <t xml:space="preserve">Environments + CI/CD pipeline</t>
  </si>
  <si>
    <t xml:space="preserve">EP-1 Platform Foundation &amp; DevOps</t>
  </si>
  <si>
    <t xml:space="preserve">Must</t>
  </si>
  <si>
    <t xml:space="preserve">DevOps Engineer</t>
  </si>
  <si>
    <t xml:space="preserve">None</t>
  </si>
  <si>
    <t xml:space="preserve">Developer</t>
  </si>
  <si>
    <t xml:space="preserve">US-02</t>
  </si>
  <si>
    <t xml:space="preserve">Schema v1 + migrations</t>
  </si>
  <si>
    <t xml:space="preserve">Backend Developer</t>
  </si>
  <si>
    <t xml:space="preserve">US-03</t>
  </si>
  <si>
    <t xml:space="preserve">Clickable prototype</t>
  </si>
  <si>
    <t xml:space="preserve">UI/UX Designer</t>
  </si>
  <si>
    <t xml:space="preserve">Product Owner</t>
  </si>
  <si>
    <t xml:space="preserve">US-04</t>
  </si>
  <si>
    <t xml:space="preserve">Staff login</t>
  </si>
  <si>
    <t xml:space="preserve">EP-2 Identity, Access &amp; Security</t>
  </si>
  <si>
    <t xml:space="preserve">Support Agent, Manager or Admin</t>
  </si>
  <si>
    <t xml:space="preserve">US-05</t>
  </si>
  <si>
    <t xml:space="preserve">RBAC permission model</t>
  </si>
  <si>
    <t xml:space="preserve">Admin</t>
  </si>
  <si>
    <t xml:space="preserve">US-11</t>
  </si>
  <si>
    <t xml:space="preserve">Spike report + recommendation</t>
  </si>
  <si>
    <t xml:space="preserve">EP-4 AI Assistant (RAG)</t>
  </si>
  <si>
    <t xml:space="preserve">AI/ML Engineer</t>
  </si>
  <si>
    <t xml:space="preserve">US-09</t>
  </si>
  <si>
    <t xml:space="preserve">Admin KB editor</t>
  </si>
  <si>
    <t xml:space="preserve">EP-3 Knowledge Base Management</t>
  </si>
  <si>
    <t xml:space="preserve">Frontend Developer</t>
  </si>
  <si>
    <t xml:space="preserve">US-02, US-05</t>
  </si>
  <si>
    <t xml:space="preserve">US-10</t>
  </si>
  <si>
    <t xml:space="preserve">Bulk import</t>
  </si>
  <si>
    <t xml:space="preserve">Should</t>
  </si>
  <si>
    <t xml:space="preserve">US-12</t>
  </si>
  <si>
    <t xml:space="preserve">Ingestion pipeline + vector index</t>
  </si>
  <si>
    <t xml:space="preserve">US-02, US-11</t>
  </si>
  <si>
    <t xml:space="preserve">US-13</t>
  </si>
  <si>
    <t xml:space="preserve">RAG answer API</t>
  </si>
  <si>
    <t xml:space="preserve">Customer</t>
  </si>
  <si>
    <t xml:space="preserve">US-14</t>
  </si>
  <si>
    <t xml:space="preserve">Guardrails + fallback</t>
  </si>
  <si>
    <t xml:space="preserve">US-15</t>
  </si>
  <si>
    <t xml:space="preserve">Golden set + evaluation script</t>
  </si>
  <si>
    <t xml:space="preserve">QA Engineer</t>
  </si>
  <si>
    <t xml:space="preserve">US-06</t>
  </si>
  <si>
    <t xml:space="preserve">Customer email-OTP sign-in</t>
  </si>
  <si>
    <t xml:space="preserve">US-16</t>
  </si>
  <si>
    <t xml:space="preserve">Customer chat UI</t>
  </si>
  <si>
    <t xml:space="preserve">EP-5 Customer Chat Experience</t>
  </si>
  <si>
    <t xml:space="preserve">US-03, US-06, US-13</t>
  </si>
  <si>
    <t xml:space="preserve">US-17</t>
  </si>
  <si>
    <t xml:space="preserve">Answer feedback</t>
  </si>
  <si>
    <t xml:space="preserve">US-18</t>
  </si>
  <si>
    <t xml:space="preserve">Conversation history</t>
  </si>
  <si>
    <t xml:space="preserve">US-02, US-16</t>
  </si>
  <si>
    <t xml:space="preserve">US-19</t>
  </si>
  <si>
    <t xml:space="preserve">Escalation request flow</t>
  </si>
  <si>
    <t xml:space="preserve">EP-6 Escalation &amp; Agent Console</t>
  </si>
  <si>
    <t xml:space="preserve">US-14, US-16</t>
  </si>
  <si>
    <t xml:space="preserve">US-25</t>
  </si>
  <si>
    <t xml:space="preserve">PII redaction layer</t>
  </si>
  <si>
    <t xml:space="preserve">EP-8 Privacy &amp; Data Protection</t>
  </si>
  <si>
    <t xml:space="preserve">Security &amp; Privacy Officer</t>
  </si>
  <si>
    <t xml:space="preserve">US-07</t>
  </si>
  <si>
    <t xml:space="preserve">Security hardening</t>
  </si>
  <si>
    <t xml:space="preserve">US-04, US-05</t>
  </si>
  <si>
    <t xml:space="preserve">US-20</t>
  </si>
  <si>
    <t xml:space="preserve">Escalation queue</t>
  </si>
  <si>
    <t xml:space="preserve">US-19, US-05</t>
  </si>
  <si>
    <t xml:space="preserve">Support Agent</t>
  </si>
  <si>
    <t xml:space="preserve">US-21</t>
  </si>
  <si>
    <t xml:space="preserve">Agent console</t>
  </si>
  <si>
    <t xml:space="preserve">US-22</t>
  </si>
  <si>
    <t xml:space="preserve">Reply notifications</t>
  </si>
  <si>
    <t xml:space="preserve">US-23</t>
  </si>
  <si>
    <t xml:space="preserve">Event tracking</t>
  </si>
  <si>
    <t xml:space="preserve">EP-7 Analytics &amp; Reporting</t>
  </si>
  <si>
    <t xml:space="preserve">US-16, US-19</t>
  </si>
  <si>
    <t xml:space="preserve">Support Manager</t>
  </si>
  <si>
    <t xml:space="preserve">US-24</t>
  </si>
  <si>
    <t xml:space="preserve">Manager dashboard</t>
  </si>
  <si>
    <t xml:space="preserve">US-08</t>
  </si>
  <si>
    <t xml:space="preserve">Audit log</t>
  </si>
  <si>
    <t xml:space="preserve">US-26</t>
  </si>
  <si>
    <t xml:space="preserve">Retention + deletion</t>
  </si>
  <si>
    <t xml:space="preserve">US-18, US-05</t>
  </si>
  <si>
    <t xml:space="preserve">US-27</t>
  </si>
  <si>
    <t xml:space="preserve">Performance test report</t>
  </si>
  <si>
    <t xml:space="preserve">EP-9 Release Readiness</t>
  </si>
  <si>
    <t xml:space="preserve">US-22, US-24</t>
  </si>
  <si>
    <t xml:space="preserve">US-28</t>
  </si>
  <si>
    <t xml:space="preserve">UAT sign-off</t>
  </si>
  <si>
    <t xml:space="preserve">US-07, US-16, US-21, US-22, US-24, US-25</t>
  </si>
  <si>
    <t xml:space="preserve">US-29</t>
  </si>
  <si>
    <t xml:space="preserve">Production release + monitoring</t>
  </si>
  <si>
    <t xml:space="preserve">US-01, US-27</t>
  </si>
  <si>
    <t xml:space="preserve">Executive Sponsor</t>
  </si>
  <si>
    <t xml:space="preserve">US-30</t>
  </si>
  <si>
    <t xml:space="preserve">Guides + training</t>
  </si>
  <si>
    <t xml:space="preserve">Product Manager</t>
  </si>
  <si>
    <t xml:space="preserve">US-09, US-21</t>
  </si>
  <si>
    <t xml:space="preserve">Support Agent or Admin</t>
  </si>
  <si>
    <t xml:space="preserve">Capacity, Velocity and De-scope Plan</t>
  </si>
  <si>
    <t xml:space="preserve">The team is new and has no historical velocity, so Sprint 1 is deliberately lighter. Planning velocity for later sprints is an assumption (about 34 points, +/- 10%) to be replaced by actual velocity after Sprint 2.</t>
  </si>
  <si>
    <t xml:space="preserve">Planned SP</t>
  </si>
  <si>
    <t xml:space="preserve">Cumulative planned SP</t>
  </si>
  <si>
    <t xml:space="preserve">% of MVP scope</t>
  </si>
  <si>
    <t xml:space="preserve">Planning basis</t>
  </si>
  <si>
    <t xml:space="preserve">Ramp-up sprint: charter, requirements and environments take team time; 28 points planned.</t>
  </si>
  <si>
    <t xml:space="preserve">Peak AI build; 36 points is the highest commitment and sits at the top of the +/-10% band.</t>
  </si>
  <si>
    <t xml:space="preserve">34 points: customer chat and escalation request with integration risk (R10).</t>
  </si>
  <si>
    <t xml:space="preserve">34 points: agent console, analytics and hardening; feature complete at M5.</t>
  </si>
  <si>
    <t xml:space="preserve">29 points: includes UAT, performance test and release; Should-Have items form the de-scope buffer.</t>
  </si>
  <si>
    <t xml:space="preserve">De-scope order (applied only with Product Owner approval; Sponsor informed)</t>
  </si>
  <si>
    <t xml:space="preserve">Order</t>
  </si>
  <si>
    <t xml:space="preserve">Story</t>
  </si>
  <si>
    <t xml:space="preserve">Points released</t>
  </si>
  <si>
    <t xml:space="preserve">Action</t>
  </si>
  <si>
    <t xml:space="preserve">Defer audit logging to the post-MVP backlog (Should Have; basic access logs remain).</t>
  </si>
  <si>
    <t xml:space="preserve">Reduce guides to a one-page quick reference plus a 30-minute walkthrough.</t>
  </si>
  <si>
    <t xml:space="preserve">Keep thumbs up/down but drop the free-text comment.</t>
  </si>
  <si>
    <t xml:space="preserve">Drop the bulk-import screen; admins use the seed-load script and single-article editor.</t>
  </si>
  <si>
    <t xml:space="preserve">Escalate</t>
  </si>
  <si>
    <t xml:space="preserve">-</t>
  </si>
  <si>
    <t xml:space="preserve">If more is needed, Sponsor decides between (a) a smaller pilot (top 10 content categories) or (b) moving Go/No-Go; Must-Have stories are never silently cut.</t>
  </si>
  <si>
    <t xml:space="preserve">Definition of Done (DoD) and Definition of Ready (DoR)</t>
  </si>
  <si>
    <t xml:space="preserve">Agreed at Sprint 1 planning and inspected at every retrospective.</t>
  </si>
  <si>
    <t xml:space="preserve">#</t>
  </si>
  <si>
    <t xml:space="preserve">Definition of Done: a story is Done when...</t>
  </si>
  <si>
    <t xml:space="preserve">Code is peer-reviewed through a pull request and merged to the main branch.</t>
  </si>
  <si>
    <t xml:space="preserve">Unit tests are written and passing; the CI pipeline is green.</t>
  </si>
  <si>
    <t xml:space="preserve">Acceptance criteria are verified by QA (or demonstrated) and accepted by the Product Owner.</t>
  </si>
  <si>
    <t xml:space="preserve">No Critical or High defects remain open on the story; Medium defects are triaged with a decision.</t>
  </si>
  <si>
    <t xml:space="preserve">The increment is deployed to staging and demonstrated at the sprint review.</t>
  </si>
  <si>
    <t xml:space="preserve">AI stories: evaluated against the golden set, result recorded, and no drop of more than 2 percentage points versus the previous run.</t>
  </si>
  <si>
    <t xml:space="preserve">Security basics: dependency scan has no Critical/High findings, no secrets in code, no personal data in logs.</t>
  </si>
  <si>
    <t xml:space="preserve">Logging and error handling exist for new endpoints.</t>
  </si>
  <si>
    <t xml:space="preserve">API documentation (OpenAPI) and user-facing text are updated.</t>
  </si>
  <si>
    <t xml:space="preserve">New customer-facing screens pass a keyboard-navigation and colour-contrast check.</t>
  </si>
  <si>
    <t xml:space="preserve">Definition of Ready: a story may enter a sprint when...</t>
  </si>
  <si>
    <t xml:space="preserve">Written as 'As a [user], I want [feature], so that [benefit]'.</t>
  </si>
  <si>
    <t xml:space="preserve">Acceptance criteria are testable (Given / When / Then).</t>
  </si>
  <si>
    <t xml:space="preserve">Estimated at 8 points or fewer; larger stories are split first.</t>
  </si>
  <si>
    <t xml:space="preserve">Dependencies are identified and either complete or scheduled earlier.</t>
  </si>
  <si>
    <t xml:space="preserve">Designs exist for stories with a user interface.</t>
  </si>
  <si>
    <t xml:space="preserve">Priority set by the Product Owner and test data identified.</t>
  </si>
  <si>
    <t xml:space="preserve">Scrum Cadence</t>
  </si>
  <si>
    <t xml:space="preserve">Sprint length 2 weeks, Monday to Friday. The PM facilitates ceremonies and owns impediment removal; the Product Manager owns the backlog.</t>
  </si>
  <si>
    <t xml:space="preserve">Ceremony</t>
  </si>
  <si>
    <t xml:space="preserve">When</t>
  </si>
  <si>
    <t xml:space="preserve">Duration</t>
  </si>
  <si>
    <t xml:space="preserve">Participants</t>
  </si>
  <si>
    <t xml:space="preserve">Purpose / output</t>
  </si>
  <si>
    <t xml:space="preserve">Sprint planning</t>
  </si>
  <si>
    <t xml:space="preserve">Day 1 of sprint (Monday 10:00)</t>
  </si>
  <si>
    <t xml:space="preserve">2 hours</t>
  </si>
  <si>
    <t xml:space="preserve">PM, Product Manager, delivery team, QA, UX</t>
  </si>
  <si>
    <t xml:space="preserve">Sprint goal and committed stories; capacity and risks checked</t>
  </si>
  <si>
    <t xml:space="preserve">Daily stand-up</t>
  </si>
  <si>
    <t xml:space="preserve">Daily 09:30</t>
  </si>
  <si>
    <t xml:space="preserve">15 minutes</t>
  </si>
  <si>
    <t xml:space="preserve">Delivery team, PM</t>
  </si>
  <si>
    <t xml:space="preserve">Progress and blockers; PM logs impediments and follows up the same day</t>
  </si>
  <si>
    <t xml:space="preserve">Backlog refinement</t>
  </si>
  <si>
    <t xml:space="preserve">Wednesday of week 2</t>
  </si>
  <si>
    <t xml:space="preserve">1 hour</t>
  </si>
  <si>
    <t xml:space="preserve">Product Manager, PM, technical leads</t>
  </si>
  <si>
    <t xml:space="preserve">Next sprint's stories made 'Ready' (see Definition of Ready)</t>
  </si>
  <si>
    <t xml:space="preserve">Weekly risk and status check</t>
  </si>
  <si>
    <t xml:space="preserve">Thursday 11:00</t>
  </si>
  <si>
    <t xml:space="preserve">30 minutes</t>
  </si>
  <si>
    <t xml:space="preserve">PM and risk owners</t>
  </si>
  <si>
    <t xml:space="preserve">Risk, issue and dependency logs updated; status report drafted</t>
  </si>
  <si>
    <t xml:space="preserve">Sprint review / steering</t>
  </si>
  <si>
    <t xml:space="preserve">Last Friday of sprint, 14:00</t>
  </si>
  <si>
    <t xml:space="preserve">Team, Sponsor, Support Manager, Product Manager, other stakeholders</t>
  </si>
  <si>
    <t xml:space="preserve">Demo of working software; evaluation results; decisions logged</t>
  </si>
  <si>
    <t xml:space="preserve">Retrospective</t>
  </si>
  <si>
    <t xml:space="preserve">Last Friday of sprint, 15:30</t>
  </si>
  <si>
    <t xml:space="preserve">Delivery team and PM</t>
  </si>
  <si>
    <t xml:space="preserve">Two or three improvement actions with owners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</si>
</sst>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 mmm\ yyyy"/>
    <numFmt numFmtId="166" formatCode="General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b val="true"/>
      <sz val="9"/>
      <color rgb="FF9C0006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5F8FC"/>
      </patternFill>
    </fill>
    <fill>
      <patternFill patternType="solid">
        <fgColor rgb="FF1F3864"/>
        <bgColor rgb="FF333399"/>
      </patternFill>
    </fill>
    <fill>
      <patternFill patternType="solid">
        <fgColor rgb="FFF5F8FC"/>
        <bgColor rgb="FFFFFFFF"/>
      </patternFill>
    </fill>
    <fill>
      <patternFill patternType="solid">
        <fgColor rgb="FFDCE6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5F8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6B5200"/>
          <bgColor rgb="FF000000"/>
        </patternFill>
      </fill>
    </dxf>
    <dxf>
      <fill>
        <patternFill patternType="solid">
          <fgColor rgb="FF7B1E00"/>
          <bgColor rgb="FF000000"/>
        </patternFill>
      </fill>
    </dxf>
    <dxf>
      <font>
        <name val="Arial"/>
        <charset val="1"/>
        <family val="0"/>
        <b val="1"/>
        <color rgb="FF7B1E00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6B5200"/>
      </font>
      <fill>
        <patternFill>
          <bgColor rgb="FFFFE699"/>
        </patternFill>
      </fill>
    </dxf>
    <dxf>
      <font>
        <name val="Arial"/>
        <charset val="1"/>
        <family val="0"/>
        <b val="1"/>
        <color rgb="FF1F3864"/>
      </font>
      <fill>
        <patternFill>
          <bgColor rgb="FFBDD7EE"/>
        </patternFill>
      </fill>
    </dxf>
    <dxf>
      <font>
        <name val="Arial"/>
        <charset val="1"/>
        <family val="0"/>
        <b val="1"/>
        <color rgb="FF404040"/>
      </font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6B5200"/>
      <rgbColor rgb="FF800080"/>
      <rgbColor rgb="FF008080"/>
      <rgbColor rgb="FFBFBFBF"/>
      <rgbColor rgb="FF7F7F7F"/>
      <rgbColor rgb="FF9999FF"/>
      <rgbColor rgb="FF993366"/>
      <rgbColor rgb="FFFFF2CC"/>
      <rgbColor rgb="FFDCE6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8FC"/>
      <rgbColor rgb="FFD9D9D9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7B1E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5" min="5" style="0" width="22"/>
    <col collapsed="false" customWidth="true" hidden="false" outlineLevel="0" max="6" min="6" style="0" width="56"/>
    <col collapsed="false" customWidth="true" hidden="false" outlineLevel="0" max="7" min="7" style="0" width="40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44"/>
    <col collapsed="false" customWidth="true" hidden="false" outlineLevel="0" max="11" min="11" style="0" width="52"/>
    <col collapsed="false" customWidth="true" hidden="false" outlineLevel="0" max="12" min="12" style="0" width="12"/>
  </cols>
  <sheetData>
    <row r="1" customFormat="false" ht="24" hidden="false" customHeight="true" outlineLevel="0" collapsed="false">
      <c r="A1" s="1" t="s">
        <v>0</v>
      </c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7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customFormat="false" ht="39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customFormat="false" ht="54" hidden="false" customHeight="true" outlineLevel="0" collapsed="false">
      <c r="A6" s="5" t="s">
        <v>15</v>
      </c>
      <c r="B6" s="6" t="n">
        <v>46027</v>
      </c>
      <c r="C6" s="6" t="n">
        <v>46038</v>
      </c>
      <c r="D6" s="7" t="n">
        <f aca="false">NETWORKDAYS(B6,C6)</f>
        <v>10</v>
      </c>
      <c r="E6" s="8" t="s">
        <v>16</v>
      </c>
      <c r="F6" s="8" t="s">
        <v>17</v>
      </c>
      <c r="G6" s="8" t="s">
        <v>18</v>
      </c>
      <c r="H6" s="7" t="n">
        <f aca="false">COUNTIFS('Sprint Backlog'!$A$6:$A$35,1)</f>
        <v>6</v>
      </c>
      <c r="I6" s="7" t="n">
        <f aca="false">SUMIFS('Sprint Backlog'!$F$6:$F$35,'Sprint Backlog'!$A$6:$A$35,1)</f>
        <v>28</v>
      </c>
      <c r="J6" s="8" t="s">
        <v>19</v>
      </c>
      <c r="K6" s="8" t="s">
        <v>20</v>
      </c>
      <c r="L6" s="6" t="n">
        <v>46038</v>
      </c>
    </row>
    <row r="7" customFormat="false" ht="54" hidden="false" customHeight="true" outlineLevel="0" collapsed="false">
      <c r="A7" s="9" t="s">
        <v>21</v>
      </c>
      <c r="B7" s="10" t="n">
        <v>46041</v>
      </c>
      <c r="C7" s="10" t="n">
        <v>46052</v>
      </c>
      <c r="D7" s="11" t="n">
        <f aca="false">NETWORKDAYS(B7,C7)</f>
        <v>10</v>
      </c>
      <c r="E7" s="12" t="s">
        <v>22</v>
      </c>
      <c r="F7" s="12" t="s">
        <v>23</v>
      </c>
      <c r="G7" s="12" t="s">
        <v>24</v>
      </c>
      <c r="H7" s="11" t="n">
        <f aca="false">COUNTIFS('Sprint Backlog'!$A$6:$A$35,2)</f>
        <v>6</v>
      </c>
      <c r="I7" s="11" t="n">
        <f aca="false">SUMIFS('Sprint Backlog'!$F$6:$F$35,'Sprint Backlog'!$A$6:$A$35,2)</f>
        <v>36</v>
      </c>
      <c r="J7" s="12" t="s">
        <v>25</v>
      </c>
      <c r="K7" s="12" t="s">
        <v>26</v>
      </c>
      <c r="L7" s="10" t="n">
        <v>46052</v>
      </c>
    </row>
    <row r="8" customFormat="false" ht="54" hidden="false" customHeight="true" outlineLevel="0" collapsed="false">
      <c r="A8" s="5" t="s">
        <v>27</v>
      </c>
      <c r="B8" s="6" t="n">
        <v>46055</v>
      </c>
      <c r="C8" s="6" t="n">
        <v>46066</v>
      </c>
      <c r="D8" s="7" t="n">
        <f aca="false">NETWORKDAYS(B8,C8)</f>
        <v>10</v>
      </c>
      <c r="E8" s="8" t="s">
        <v>28</v>
      </c>
      <c r="F8" s="8" t="s">
        <v>29</v>
      </c>
      <c r="G8" s="8" t="s">
        <v>30</v>
      </c>
      <c r="H8" s="7" t="n">
        <f aca="false">COUNTIFS('Sprint Backlog'!$A$6:$A$35,3)</f>
        <v>6</v>
      </c>
      <c r="I8" s="7" t="n">
        <f aca="false">SUMIFS('Sprint Backlog'!$F$6:$F$35,'Sprint Backlog'!$A$6:$A$35,3)</f>
        <v>34</v>
      </c>
      <c r="J8" s="8" t="s">
        <v>31</v>
      </c>
      <c r="K8" s="8" t="s">
        <v>32</v>
      </c>
      <c r="L8" s="6" t="n">
        <v>46066</v>
      </c>
    </row>
    <row r="9" customFormat="false" ht="54" hidden="false" customHeight="true" outlineLevel="0" collapsed="false">
      <c r="A9" s="9" t="s">
        <v>33</v>
      </c>
      <c r="B9" s="10" t="n">
        <v>46069</v>
      </c>
      <c r="C9" s="10" t="n">
        <v>46080</v>
      </c>
      <c r="D9" s="11" t="n">
        <f aca="false">NETWORKDAYS(B9,C9)</f>
        <v>10</v>
      </c>
      <c r="E9" s="12" t="s">
        <v>34</v>
      </c>
      <c r="F9" s="12" t="s">
        <v>35</v>
      </c>
      <c r="G9" s="12" t="s">
        <v>36</v>
      </c>
      <c r="H9" s="11" t="n">
        <f aca="false">COUNTIFS('Sprint Backlog'!$A$6:$A$35,4)</f>
        <v>6</v>
      </c>
      <c r="I9" s="11" t="n">
        <f aca="false">SUMIFS('Sprint Backlog'!$F$6:$F$35,'Sprint Backlog'!$A$6:$A$35,4)</f>
        <v>34</v>
      </c>
      <c r="J9" s="12" t="s">
        <v>37</v>
      </c>
      <c r="K9" s="12" t="s">
        <v>38</v>
      </c>
      <c r="L9" s="10" t="n">
        <v>46080</v>
      </c>
    </row>
    <row r="10" customFormat="false" ht="41.25" hidden="false" customHeight="true" outlineLevel="0" collapsed="false">
      <c r="A10" s="5" t="s">
        <v>39</v>
      </c>
      <c r="B10" s="6" t="n">
        <v>46083</v>
      </c>
      <c r="C10" s="6" t="n">
        <v>46094</v>
      </c>
      <c r="D10" s="7" t="n">
        <f aca="false">NETWORKDAYS(B10,C10)</f>
        <v>10</v>
      </c>
      <c r="E10" s="8" t="s">
        <v>40</v>
      </c>
      <c r="F10" s="8" t="s">
        <v>41</v>
      </c>
      <c r="G10" s="8" t="s">
        <v>42</v>
      </c>
      <c r="H10" s="7" t="n">
        <f aca="false">COUNTIFS('Sprint Backlog'!$A$6:$A$35,5)</f>
        <v>6</v>
      </c>
      <c r="I10" s="7" t="n">
        <f aca="false">SUMIFS('Sprint Backlog'!$F$6:$F$35,'Sprint Backlog'!$A$6:$A$35,5)</f>
        <v>29</v>
      </c>
      <c r="J10" s="8" t="s">
        <v>43</v>
      </c>
      <c r="K10" s="8" t="s">
        <v>44</v>
      </c>
      <c r="L10" s="6" t="n">
        <v>46094</v>
      </c>
    </row>
    <row r="11" customFormat="false" ht="15" hidden="false" customHeight="false" outlineLevel="0" collapsed="false">
      <c r="A11" s="13" t="s">
        <v>45</v>
      </c>
      <c r="B11" s="13"/>
      <c r="C11" s="13"/>
      <c r="D11" s="13" t="n">
        <f aca="false">SUM(D6:D10)</f>
        <v>50</v>
      </c>
      <c r="E11" s="13"/>
      <c r="F11" s="13"/>
      <c r="G11" s="13"/>
      <c r="H11" s="13" t="n">
        <f aca="false">SUM(H6:H10)</f>
        <v>30</v>
      </c>
      <c r="I11" s="13" t="n">
        <f aca="false">SUM(I6:I10)</f>
        <v>161</v>
      </c>
      <c r="J11" s="13"/>
      <c r="K11" s="13"/>
      <c r="L11" s="13"/>
    </row>
  </sheetData>
  <autoFilter ref="A5:L10"/>
  <mergeCells count="2">
    <mergeCell ref="A2:L2"/>
    <mergeCell ref="A3:L3"/>
  </mergeCell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Simulated self-directed portfolio project - 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38"/>
    <col collapsed="false" customWidth="true" hidden="false" outlineLevel="0" max="4" min="4" style="0" width="28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20"/>
    <col collapsed="false" customWidth="true" hidden="false" outlineLevel="0" max="9" min="8" style="0" width="24"/>
  </cols>
  <sheetData>
    <row r="1" customFormat="false" ht="24" hidden="false" customHeight="true" outlineLevel="0" collapsed="false">
      <c r="A1" s="1" t="s">
        <v>46</v>
      </c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A3" s="3" t="s">
        <v>47</v>
      </c>
      <c r="B3" s="3"/>
      <c r="C3" s="3"/>
      <c r="D3" s="3"/>
      <c r="E3" s="3"/>
      <c r="F3" s="3"/>
      <c r="G3" s="3"/>
      <c r="H3" s="3"/>
      <c r="I3" s="3"/>
    </row>
    <row r="5" customFormat="false" ht="30" hidden="false" customHeight="true" outlineLevel="0" collapsed="false">
      <c r="A5" s="4" t="s">
        <v>3</v>
      </c>
      <c r="B5" s="4" t="s">
        <v>48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  <c r="I5" s="4" t="s">
        <v>55</v>
      </c>
    </row>
    <row r="6" customFormat="false" ht="28.5" hidden="false" customHeight="true" outlineLevel="0" collapsed="false">
      <c r="A6" s="7" t="n">
        <v>1</v>
      </c>
      <c r="B6" s="5" t="s">
        <v>56</v>
      </c>
      <c r="C6" s="8" t="s">
        <v>57</v>
      </c>
      <c r="D6" s="8" t="s">
        <v>58</v>
      </c>
      <c r="E6" s="14" t="s">
        <v>59</v>
      </c>
      <c r="F6" s="7" t="n">
        <v>5</v>
      </c>
      <c r="G6" s="8" t="s">
        <v>60</v>
      </c>
      <c r="H6" s="8" t="s">
        <v>61</v>
      </c>
      <c r="I6" s="8" t="s">
        <v>62</v>
      </c>
    </row>
    <row r="7" customFormat="false" ht="28.5" hidden="false" customHeight="true" outlineLevel="0" collapsed="false">
      <c r="A7" s="11" t="n">
        <v>1</v>
      </c>
      <c r="B7" s="9" t="s">
        <v>63</v>
      </c>
      <c r="C7" s="12" t="s">
        <v>64</v>
      </c>
      <c r="D7" s="12" t="s">
        <v>58</v>
      </c>
      <c r="E7" s="15" t="s">
        <v>59</v>
      </c>
      <c r="F7" s="11" t="n">
        <v>5</v>
      </c>
      <c r="G7" s="12" t="s">
        <v>65</v>
      </c>
      <c r="H7" s="12" t="s">
        <v>61</v>
      </c>
      <c r="I7" s="12" t="s">
        <v>62</v>
      </c>
    </row>
    <row r="8" customFormat="false" ht="28.5" hidden="false" customHeight="true" outlineLevel="0" collapsed="false">
      <c r="A8" s="7" t="n">
        <v>1</v>
      </c>
      <c r="B8" s="5" t="s">
        <v>66</v>
      </c>
      <c r="C8" s="8" t="s">
        <v>67</v>
      </c>
      <c r="D8" s="8" t="s">
        <v>58</v>
      </c>
      <c r="E8" s="14" t="s">
        <v>59</v>
      </c>
      <c r="F8" s="7" t="n">
        <v>5</v>
      </c>
      <c r="G8" s="8" t="s">
        <v>68</v>
      </c>
      <c r="H8" s="8" t="s">
        <v>61</v>
      </c>
      <c r="I8" s="8" t="s">
        <v>69</v>
      </c>
    </row>
    <row r="9" customFormat="false" ht="28.5" hidden="false" customHeight="true" outlineLevel="0" collapsed="false">
      <c r="A9" s="11" t="n">
        <v>1</v>
      </c>
      <c r="B9" s="9" t="s">
        <v>70</v>
      </c>
      <c r="C9" s="12" t="s">
        <v>71</v>
      </c>
      <c r="D9" s="12" t="s">
        <v>72</v>
      </c>
      <c r="E9" s="15" t="s">
        <v>59</v>
      </c>
      <c r="F9" s="11" t="n">
        <v>5</v>
      </c>
      <c r="G9" s="12" t="s">
        <v>65</v>
      </c>
      <c r="H9" s="12" t="s">
        <v>63</v>
      </c>
      <c r="I9" s="12" t="s">
        <v>73</v>
      </c>
    </row>
    <row r="10" customFormat="false" ht="28.5" hidden="false" customHeight="true" outlineLevel="0" collapsed="false">
      <c r="A10" s="7" t="n">
        <v>1</v>
      </c>
      <c r="B10" s="5" t="s">
        <v>74</v>
      </c>
      <c r="C10" s="8" t="s">
        <v>75</v>
      </c>
      <c r="D10" s="8" t="s">
        <v>72</v>
      </c>
      <c r="E10" s="14" t="s">
        <v>59</v>
      </c>
      <c r="F10" s="7" t="n">
        <v>3</v>
      </c>
      <c r="G10" s="8" t="s">
        <v>65</v>
      </c>
      <c r="H10" s="8" t="s">
        <v>70</v>
      </c>
      <c r="I10" s="8" t="s">
        <v>76</v>
      </c>
    </row>
    <row r="11" customFormat="false" ht="16.5" hidden="false" customHeight="true" outlineLevel="0" collapsed="false">
      <c r="A11" s="11" t="n">
        <v>1</v>
      </c>
      <c r="B11" s="9" t="s">
        <v>77</v>
      </c>
      <c r="C11" s="12" t="s">
        <v>78</v>
      </c>
      <c r="D11" s="12" t="s">
        <v>79</v>
      </c>
      <c r="E11" s="15" t="s">
        <v>59</v>
      </c>
      <c r="F11" s="11" t="n">
        <v>5</v>
      </c>
      <c r="G11" s="12" t="s">
        <v>80</v>
      </c>
      <c r="H11" s="12" t="s">
        <v>61</v>
      </c>
      <c r="I11" s="12" t="s">
        <v>69</v>
      </c>
    </row>
    <row r="12" customFormat="false" ht="16.5" hidden="false" customHeight="true" outlineLevel="0" collapsed="false">
      <c r="A12" s="7" t="n">
        <v>2</v>
      </c>
      <c r="B12" s="5" t="s">
        <v>81</v>
      </c>
      <c r="C12" s="8" t="s">
        <v>82</v>
      </c>
      <c r="D12" s="8" t="s">
        <v>83</v>
      </c>
      <c r="E12" s="14" t="s">
        <v>59</v>
      </c>
      <c r="F12" s="7" t="n">
        <v>5</v>
      </c>
      <c r="G12" s="8" t="s">
        <v>84</v>
      </c>
      <c r="H12" s="8" t="s">
        <v>85</v>
      </c>
      <c r="I12" s="8" t="s">
        <v>76</v>
      </c>
    </row>
    <row r="13" customFormat="false" ht="16.5" hidden="false" customHeight="true" outlineLevel="0" collapsed="false">
      <c r="A13" s="11" t="n">
        <v>2</v>
      </c>
      <c r="B13" s="9" t="s">
        <v>86</v>
      </c>
      <c r="C13" s="12" t="s">
        <v>87</v>
      </c>
      <c r="D13" s="12" t="s">
        <v>83</v>
      </c>
      <c r="E13" s="15" t="s">
        <v>88</v>
      </c>
      <c r="F13" s="11" t="n">
        <v>5</v>
      </c>
      <c r="G13" s="12" t="s">
        <v>65</v>
      </c>
      <c r="H13" s="12" t="s">
        <v>81</v>
      </c>
      <c r="I13" s="12" t="s">
        <v>76</v>
      </c>
    </row>
    <row r="14" customFormat="false" ht="16.5" hidden="false" customHeight="true" outlineLevel="0" collapsed="false">
      <c r="A14" s="7" t="n">
        <v>2</v>
      </c>
      <c r="B14" s="5" t="s">
        <v>89</v>
      </c>
      <c r="C14" s="8" t="s">
        <v>90</v>
      </c>
      <c r="D14" s="8" t="s">
        <v>79</v>
      </c>
      <c r="E14" s="14" t="s">
        <v>59</v>
      </c>
      <c r="F14" s="7" t="n">
        <v>8</v>
      </c>
      <c r="G14" s="8" t="s">
        <v>80</v>
      </c>
      <c r="H14" s="8" t="s">
        <v>91</v>
      </c>
      <c r="I14" s="8" t="s">
        <v>76</v>
      </c>
    </row>
    <row r="15" customFormat="false" ht="16.5" hidden="false" customHeight="true" outlineLevel="0" collapsed="false">
      <c r="A15" s="11" t="n">
        <v>2</v>
      </c>
      <c r="B15" s="9" t="s">
        <v>92</v>
      </c>
      <c r="C15" s="12" t="s">
        <v>93</v>
      </c>
      <c r="D15" s="12" t="s">
        <v>79</v>
      </c>
      <c r="E15" s="15" t="s">
        <v>59</v>
      </c>
      <c r="F15" s="11" t="n">
        <v>8</v>
      </c>
      <c r="G15" s="12" t="s">
        <v>80</v>
      </c>
      <c r="H15" s="12" t="s">
        <v>89</v>
      </c>
      <c r="I15" s="12" t="s">
        <v>94</v>
      </c>
    </row>
    <row r="16" customFormat="false" ht="16.5" hidden="false" customHeight="true" outlineLevel="0" collapsed="false">
      <c r="A16" s="7" t="n">
        <v>2</v>
      </c>
      <c r="B16" s="5" t="s">
        <v>95</v>
      </c>
      <c r="C16" s="8" t="s">
        <v>96</v>
      </c>
      <c r="D16" s="8" t="s">
        <v>79</v>
      </c>
      <c r="E16" s="14" t="s">
        <v>59</v>
      </c>
      <c r="F16" s="7" t="n">
        <v>5</v>
      </c>
      <c r="G16" s="8" t="s">
        <v>80</v>
      </c>
      <c r="H16" s="8" t="s">
        <v>92</v>
      </c>
      <c r="I16" s="8" t="s">
        <v>94</v>
      </c>
    </row>
    <row r="17" customFormat="false" ht="16.5" hidden="false" customHeight="true" outlineLevel="0" collapsed="false">
      <c r="A17" s="11" t="n">
        <v>2</v>
      </c>
      <c r="B17" s="9" t="s">
        <v>97</v>
      </c>
      <c r="C17" s="12" t="s">
        <v>98</v>
      </c>
      <c r="D17" s="12" t="s">
        <v>79</v>
      </c>
      <c r="E17" s="15" t="s">
        <v>59</v>
      </c>
      <c r="F17" s="11" t="n">
        <v>5</v>
      </c>
      <c r="G17" s="12" t="s">
        <v>99</v>
      </c>
      <c r="H17" s="12" t="s">
        <v>81</v>
      </c>
      <c r="I17" s="12" t="s">
        <v>69</v>
      </c>
    </row>
    <row r="18" customFormat="false" ht="28.5" hidden="false" customHeight="true" outlineLevel="0" collapsed="false">
      <c r="A18" s="7" t="n">
        <v>3</v>
      </c>
      <c r="B18" s="5" t="s">
        <v>100</v>
      </c>
      <c r="C18" s="8" t="s">
        <v>101</v>
      </c>
      <c r="D18" s="8" t="s">
        <v>72</v>
      </c>
      <c r="E18" s="14" t="s">
        <v>59</v>
      </c>
      <c r="F18" s="7" t="n">
        <v>5</v>
      </c>
      <c r="G18" s="8" t="s">
        <v>65</v>
      </c>
      <c r="H18" s="8" t="s">
        <v>63</v>
      </c>
      <c r="I18" s="8" t="s">
        <v>94</v>
      </c>
    </row>
    <row r="19" customFormat="false" ht="16.5" hidden="false" customHeight="true" outlineLevel="0" collapsed="false">
      <c r="A19" s="11" t="n">
        <v>3</v>
      </c>
      <c r="B19" s="9" t="s">
        <v>102</v>
      </c>
      <c r="C19" s="12" t="s">
        <v>103</v>
      </c>
      <c r="D19" s="12" t="s">
        <v>104</v>
      </c>
      <c r="E19" s="15" t="s">
        <v>59</v>
      </c>
      <c r="F19" s="11" t="n">
        <v>8</v>
      </c>
      <c r="G19" s="12" t="s">
        <v>84</v>
      </c>
      <c r="H19" s="12" t="s">
        <v>105</v>
      </c>
      <c r="I19" s="12" t="s">
        <v>94</v>
      </c>
    </row>
    <row r="20" customFormat="false" ht="16.5" hidden="false" customHeight="true" outlineLevel="0" collapsed="false">
      <c r="A20" s="7" t="n">
        <v>3</v>
      </c>
      <c r="B20" s="5" t="s">
        <v>106</v>
      </c>
      <c r="C20" s="8" t="s">
        <v>107</v>
      </c>
      <c r="D20" s="8" t="s">
        <v>104</v>
      </c>
      <c r="E20" s="14" t="s">
        <v>88</v>
      </c>
      <c r="F20" s="7" t="n">
        <v>3</v>
      </c>
      <c r="G20" s="8" t="s">
        <v>84</v>
      </c>
      <c r="H20" s="8" t="s">
        <v>102</v>
      </c>
      <c r="I20" s="8" t="s">
        <v>94</v>
      </c>
    </row>
    <row r="21" customFormat="false" ht="16.5" hidden="false" customHeight="true" outlineLevel="0" collapsed="false">
      <c r="A21" s="11" t="n">
        <v>3</v>
      </c>
      <c r="B21" s="9" t="s">
        <v>108</v>
      </c>
      <c r="C21" s="12" t="s">
        <v>109</v>
      </c>
      <c r="D21" s="12" t="s">
        <v>104</v>
      </c>
      <c r="E21" s="15" t="s">
        <v>59</v>
      </c>
      <c r="F21" s="11" t="n">
        <v>5</v>
      </c>
      <c r="G21" s="12" t="s">
        <v>65</v>
      </c>
      <c r="H21" s="12" t="s">
        <v>110</v>
      </c>
      <c r="I21" s="12" t="s">
        <v>94</v>
      </c>
    </row>
    <row r="22" customFormat="false" ht="16.5" hidden="false" customHeight="true" outlineLevel="0" collapsed="false">
      <c r="A22" s="7" t="n">
        <v>3</v>
      </c>
      <c r="B22" s="5" t="s">
        <v>111</v>
      </c>
      <c r="C22" s="8" t="s">
        <v>112</v>
      </c>
      <c r="D22" s="8" t="s">
        <v>113</v>
      </c>
      <c r="E22" s="14" t="s">
        <v>59</v>
      </c>
      <c r="F22" s="7" t="n">
        <v>8</v>
      </c>
      <c r="G22" s="8" t="s">
        <v>65</v>
      </c>
      <c r="H22" s="8" t="s">
        <v>114</v>
      </c>
      <c r="I22" s="8" t="s">
        <v>94</v>
      </c>
    </row>
    <row r="23" customFormat="false" ht="16.5" hidden="false" customHeight="true" outlineLevel="0" collapsed="false">
      <c r="A23" s="11" t="n">
        <v>3</v>
      </c>
      <c r="B23" s="9" t="s">
        <v>115</v>
      </c>
      <c r="C23" s="12" t="s">
        <v>116</v>
      </c>
      <c r="D23" s="12" t="s">
        <v>117</v>
      </c>
      <c r="E23" s="15" t="s">
        <v>59</v>
      </c>
      <c r="F23" s="11" t="n">
        <v>5</v>
      </c>
      <c r="G23" s="12" t="s">
        <v>80</v>
      </c>
      <c r="H23" s="12" t="s">
        <v>92</v>
      </c>
      <c r="I23" s="12" t="s">
        <v>118</v>
      </c>
    </row>
    <row r="24" customFormat="false" ht="28.5" hidden="false" customHeight="true" outlineLevel="0" collapsed="false">
      <c r="A24" s="7" t="n">
        <v>4</v>
      </c>
      <c r="B24" s="5" t="s">
        <v>119</v>
      </c>
      <c r="C24" s="8" t="s">
        <v>120</v>
      </c>
      <c r="D24" s="8" t="s">
        <v>72</v>
      </c>
      <c r="E24" s="14" t="s">
        <v>59</v>
      </c>
      <c r="F24" s="7" t="n">
        <v>5</v>
      </c>
      <c r="G24" s="8" t="s">
        <v>65</v>
      </c>
      <c r="H24" s="8" t="s">
        <v>121</v>
      </c>
      <c r="I24" s="8" t="s">
        <v>118</v>
      </c>
    </row>
    <row r="25" customFormat="false" ht="16.5" hidden="false" customHeight="true" outlineLevel="0" collapsed="false">
      <c r="A25" s="11" t="n">
        <v>4</v>
      </c>
      <c r="B25" s="9" t="s">
        <v>122</v>
      </c>
      <c r="C25" s="12" t="s">
        <v>123</v>
      </c>
      <c r="D25" s="12" t="s">
        <v>113</v>
      </c>
      <c r="E25" s="15" t="s">
        <v>59</v>
      </c>
      <c r="F25" s="11" t="n">
        <v>5</v>
      </c>
      <c r="G25" s="12" t="s">
        <v>65</v>
      </c>
      <c r="H25" s="12" t="s">
        <v>124</v>
      </c>
      <c r="I25" s="12" t="s">
        <v>125</v>
      </c>
    </row>
    <row r="26" customFormat="false" ht="16.5" hidden="false" customHeight="true" outlineLevel="0" collapsed="false">
      <c r="A26" s="7" t="n">
        <v>4</v>
      </c>
      <c r="B26" s="5" t="s">
        <v>126</v>
      </c>
      <c r="C26" s="8" t="s">
        <v>127</v>
      </c>
      <c r="D26" s="8" t="s">
        <v>113</v>
      </c>
      <c r="E26" s="14" t="s">
        <v>59</v>
      </c>
      <c r="F26" s="7" t="n">
        <v>8</v>
      </c>
      <c r="G26" s="8" t="s">
        <v>84</v>
      </c>
      <c r="H26" s="8" t="s">
        <v>122</v>
      </c>
      <c r="I26" s="8" t="s">
        <v>125</v>
      </c>
    </row>
    <row r="27" customFormat="false" ht="16.5" hidden="false" customHeight="true" outlineLevel="0" collapsed="false">
      <c r="A27" s="11" t="n">
        <v>4</v>
      </c>
      <c r="B27" s="9" t="s">
        <v>128</v>
      </c>
      <c r="C27" s="12" t="s">
        <v>129</v>
      </c>
      <c r="D27" s="12" t="s">
        <v>113</v>
      </c>
      <c r="E27" s="15" t="s">
        <v>59</v>
      </c>
      <c r="F27" s="11" t="n">
        <v>5</v>
      </c>
      <c r="G27" s="12" t="s">
        <v>65</v>
      </c>
      <c r="H27" s="12" t="s">
        <v>126</v>
      </c>
      <c r="I27" s="12" t="s">
        <v>94</v>
      </c>
    </row>
    <row r="28" customFormat="false" ht="16.5" hidden="false" customHeight="true" outlineLevel="0" collapsed="false">
      <c r="A28" s="7" t="n">
        <v>4</v>
      </c>
      <c r="B28" s="5" t="s">
        <v>130</v>
      </c>
      <c r="C28" s="8" t="s">
        <v>131</v>
      </c>
      <c r="D28" s="8" t="s">
        <v>132</v>
      </c>
      <c r="E28" s="14" t="s">
        <v>59</v>
      </c>
      <c r="F28" s="7" t="n">
        <v>3</v>
      </c>
      <c r="G28" s="8" t="s">
        <v>65</v>
      </c>
      <c r="H28" s="8" t="s">
        <v>133</v>
      </c>
      <c r="I28" s="8" t="s">
        <v>134</v>
      </c>
    </row>
    <row r="29" customFormat="false" ht="16.5" hidden="false" customHeight="true" outlineLevel="0" collapsed="false">
      <c r="A29" s="11" t="n">
        <v>4</v>
      </c>
      <c r="B29" s="9" t="s">
        <v>135</v>
      </c>
      <c r="C29" s="12" t="s">
        <v>136</v>
      </c>
      <c r="D29" s="12" t="s">
        <v>132</v>
      </c>
      <c r="E29" s="15" t="s">
        <v>59</v>
      </c>
      <c r="F29" s="11" t="n">
        <v>8</v>
      </c>
      <c r="G29" s="12" t="s">
        <v>84</v>
      </c>
      <c r="H29" s="12" t="s">
        <v>130</v>
      </c>
      <c r="I29" s="12" t="s">
        <v>134</v>
      </c>
    </row>
    <row r="30" customFormat="false" ht="28.5" hidden="false" customHeight="true" outlineLevel="0" collapsed="false">
      <c r="A30" s="7" t="n">
        <v>5</v>
      </c>
      <c r="B30" s="5" t="s">
        <v>137</v>
      </c>
      <c r="C30" s="8" t="s">
        <v>138</v>
      </c>
      <c r="D30" s="8" t="s">
        <v>72</v>
      </c>
      <c r="E30" s="14" t="s">
        <v>88</v>
      </c>
      <c r="F30" s="7" t="n">
        <v>3</v>
      </c>
      <c r="G30" s="8" t="s">
        <v>65</v>
      </c>
      <c r="H30" s="8" t="s">
        <v>74</v>
      </c>
      <c r="I30" s="8" t="s">
        <v>134</v>
      </c>
    </row>
    <row r="31" customFormat="false" ht="16.5" hidden="false" customHeight="true" outlineLevel="0" collapsed="false">
      <c r="A31" s="11" t="n">
        <v>5</v>
      </c>
      <c r="B31" s="9" t="s">
        <v>139</v>
      </c>
      <c r="C31" s="12" t="s">
        <v>140</v>
      </c>
      <c r="D31" s="12" t="s">
        <v>117</v>
      </c>
      <c r="E31" s="15" t="s">
        <v>59</v>
      </c>
      <c r="F31" s="11" t="n">
        <v>5</v>
      </c>
      <c r="G31" s="12" t="s">
        <v>65</v>
      </c>
      <c r="H31" s="12" t="s">
        <v>141</v>
      </c>
      <c r="I31" s="12" t="s">
        <v>118</v>
      </c>
    </row>
    <row r="32" customFormat="false" ht="16.5" hidden="false" customHeight="true" outlineLevel="0" collapsed="false">
      <c r="A32" s="7" t="n">
        <v>5</v>
      </c>
      <c r="B32" s="5" t="s">
        <v>142</v>
      </c>
      <c r="C32" s="8" t="s">
        <v>143</v>
      </c>
      <c r="D32" s="8" t="s">
        <v>144</v>
      </c>
      <c r="E32" s="14" t="s">
        <v>59</v>
      </c>
      <c r="F32" s="7" t="n">
        <v>5</v>
      </c>
      <c r="G32" s="8" t="s">
        <v>99</v>
      </c>
      <c r="H32" s="8" t="s">
        <v>145</v>
      </c>
      <c r="I32" s="8" t="s">
        <v>69</v>
      </c>
    </row>
    <row r="33" customFormat="false" ht="28.5" hidden="false" customHeight="true" outlineLevel="0" collapsed="false">
      <c r="A33" s="11" t="n">
        <v>5</v>
      </c>
      <c r="B33" s="9" t="s">
        <v>146</v>
      </c>
      <c r="C33" s="12" t="s">
        <v>147</v>
      </c>
      <c r="D33" s="12" t="s">
        <v>144</v>
      </c>
      <c r="E33" s="15" t="s">
        <v>59</v>
      </c>
      <c r="F33" s="11" t="n">
        <v>8</v>
      </c>
      <c r="G33" s="12" t="s">
        <v>99</v>
      </c>
      <c r="H33" s="12" t="s">
        <v>148</v>
      </c>
      <c r="I33" s="12" t="s">
        <v>134</v>
      </c>
    </row>
    <row r="34" customFormat="false" ht="16.5" hidden="false" customHeight="true" outlineLevel="0" collapsed="false">
      <c r="A34" s="7" t="n">
        <v>5</v>
      </c>
      <c r="B34" s="5" t="s">
        <v>149</v>
      </c>
      <c r="C34" s="8" t="s">
        <v>150</v>
      </c>
      <c r="D34" s="8" t="s">
        <v>144</v>
      </c>
      <c r="E34" s="14" t="s">
        <v>59</v>
      </c>
      <c r="F34" s="7" t="n">
        <v>5</v>
      </c>
      <c r="G34" s="8" t="s">
        <v>60</v>
      </c>
      <c r="H34" s="8" t="s">
        <v>151</v>
      </c>
      <c r="I34" s="8" t="s">
        <v>152</v>
      </c>
    </row>
    <row r="35" customFormat="false" ht="16.5" hidden="false" customHeight="true" outlineLevel="0" collapsed="false">
      <c r="A35" s="11" t="n">
        <v>5</v>
      </c>
      <c r="B35" s="9" t="s">
        <v>153</v>
      </c>
      <c r="C35" s="12" t="s">
        <v>154</v>
      </c>
      <c r="D35" s="12" t="s">
        <v>144</v>
      </c>
      <c r="E35" s="15" t="s">
        <v>88</v>
      </c>
      <c r="F35" s="11" t="n">
        <v>3</v>
      </c>
      <c r="G35" s="12" t="s">
        <v>155</v>
      </c>
      <c r="H35" s="12" t="s">
        <v>156</v>
      </c>
      <c r="I35" s="12" t="s">
        <v>157</v>
      </c>
    </row>
  </sheetData>
  <autoFilter ref="A5:I35"/>
  <mergeCells count="2">
    <mergeCell ref="A2:I2"/>
    <mergeCell ref="A3:I3"/>
  </mergeCells>
  <conditionalFormatting sqref="E6:E35">
    <cfRule type="expression" priority="2" aboveAverage="0" equalAverage="0" bottom="0" percent="0" rank="0" text="" dxfId="9">
      <formula>E6="Must"</formula>
    </cfRule>
    <cfRule type="expression" priority="3" aboveAverage="0" equalAverage="0" bottom="0" percent="0" rank="0" text="" dxfId="10">
      <formula>E6="Should"</formula>
    </cfRule>
    <cfRule type="expression" priority="4" aboveAverage="0" equalAverage="0" bottom="0" percent="0" rank="0" text="" dxfId="11">
      <formula>E6="Could"</formula>
    </cfRule>
    <cfRule type="expression" priority="5" aboveAverage="0" equalAverage="0" bottom="0" percent="0" rank="0" text="" dxfId="12">
      <formula>E6="Won't"</formula>
    </cfRule>
  </conditionalFormatting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Simulated self-directed portfolio project -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90"/>
  </cols>
  <sheetData>
    <row r="1" customFormat="false" ht="24" hidden="false" customHeight="true" outlineLevel="0" collapsed="false">
      <c r="A1" s="1" t="s">
        <v>158</v>
      </c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</row>
    <row r="3" customFormat="false" ht="27.75" hidden="false" customHeight="true" outlineLevel="0" collapsed="false">
      <c r="A3" s="3" t="s">
        <v>159</v>
      </c>
      <c r="B3" s="3"/>
      <c r="C3" s="3"/>
      <c r="D3" s="3"/>
      <c r="E3" s="3"/>
    </row>
    <row r="5" customFormat="false" ht="30" hidden="false" customHeight="true" outlineLevel="0" collapsed="false">
      <c r="A5" s="4" t="s">
        <v>3</v>
      </c>
      <c r="B5" s="4" t="s">
        <v>160</v>
      </c>
      <c r="C5" s="4" t="s">
        <v>161</v>
      </c>
      <c r="D5" s="4" t="s">
        <v>162</v>
      </c>
      <c r="E5" s="4" t="s">
        <v>163</v>
      </c>
    </row>
    <row r="6" customFormat="false" ht="15" hidden="false" customHeight="false" outlineLevel="0" collapsed="false">
      <c r="A6" s="7" t="n">
        <v>1</v>
      </c>
      <c r="B6" s="7" t="n">
        <f aca="false">SUMIFS('Sprint Backlog'!$F$6:$F$35,'Sprint Backlog'!$A$6:$A$35,A6)</f>
        <v>28</v>
      </c>
      <c r="C6" s="7" t="n">
        <f aca="false">SUM($B$6:B6)</f>
        <v>28</v>
      </c>
      <c r="D6" s="16" t="n">
        <f aca="false">C6/$B$11</f>
        <v>0.173913043478261</v>
      </c>
      <c r="E6" s="8" t="s">
        <v>164</v>
      </c>
    </row>
    <row r="7" customFormat="false" ht="15" hidden="false" customHeight="false" outlineLevel="0" collapsed="false">
      <c r="A7" s="7" t="n">
        <v>2</v>
      </c>
      <c r="B7" s="7" t="n">
        <f aca="false">SUMIFS('Sprint Backlog'!$F$6:$F$35,'Sprint Backlog'!$A$6:$A$35,A7)</f>
        <v>36</v>
      </c>
      <c r="C7" s="7" t="n">
        <f aca="false">SUM($B$6:B7)</f>
        <v>64</v>
      </c>
      <c r="D7" s="16" t="n">
        <f aca="false">C7/$B$11</f>
        <v>0.397515527950311</v>
      </c>
      <c r="E7" s="8" t="s">
        <v>165</v>
      </c>
    </row>
    <row r="8" customFormat="false" ht="15" hidden="false" customHeight="false" outlineLevel="0" collapsed="false">
      <c r="A8" s="7" t="n">
        <v>3</v>
      </c>
      <c r="B8" s="7" t="n">
        <f aca="false">SUMIFS('Sprint Backlog'!$F$6:$F$35,'Sprint Backlog'!$A$6:$A$35,A8)</f>
        <v>34</v>
      </c>
      <c r="C8" s="7" t="n">
        <f aca="false">SUM($B$6:B8)</f>
        <v>98</v>
      </c>
      <c r="D8" s="16" t="n">
        <f aca="false">C8/$B$11</f>
        <v>0.608695652173913</v>
      </c>
      <c r="E8" s="8" t="s">
        <v>166</v>
      </c>
    </row>
    <row r="9" customFormat="false" ht="15" hidden="false" customHeight="false" outlineLevel="0" collapsed="false">
      <c r="A9" s="7" t="n">
        <v>4</v>
      </c>
      <c r="B9" s="7" t="n">
        <f aca="false">SUMIFS('Sprint Backlog'!$F$6:$F$35,'Sprint Backlog'!$A$6:$A$35,A9)</f>
        <v>34</v>
      </c>
      <c r="C9" s="7" t="n">
        <f aca="false">SUM($B$6:B9)</f>
        <v>132</v>
      </c>
      <c r="D9" s="16" t="n">
        <f aca="false">C9/$B$11</f>
        <v>0.819875776397516</v>
      </c>
      <c r="E9" s="8" t="s">
        <v>167</v>
      </c>
    </row>
    <row r="10" customFormat="false" ht="15" hidden="false" customHeight="false" outlineLevel="0" collapsed="false">
      <c r="A10" s="7" t="n">
        <v>5</v>
      </c>
      <c r="B10" s="7" t="n">
        <f aca="false">SUMIFS('Sprint Backlog'!$F$6:$F$35,'Sprint Backlog'!$A$6:$A$35,A10)</f>
        <v>29</v>
      </c>
      <c r="C10" s="7" t="n">
        <f aca="false">SUM($B$6:B10)</f>
        <v>161</v>
      </c>
      <c r="D10" s="16" t="n">
        <f aca="false">C10/$B$11</f>
        <v>1</v>
      </c>
      <c r="E10" s="8" t="s">
        <v>168</v>
      </c>
    </row>
    <row r="11" customFormat="false" ht="15" hidden="false" customHeight="false" outlineLevel="0" collapsed="false">
      <c r="A11" s="13" t="s">
        <v>45</v>
      </c>
      <c r="B11" s="13" t="n">
        <f aca="false">SUM(B6:B10)</f>
        <v>161</v>
      </c>
      <c r="C11" s="13"/>
      <c r="D11" s="13"/>
      <c r="E11" s="17"/>
    </row>
    <row r="13" customFormat="false" ht="15" hidden="false" customHeight="false" outlineLevel="0" collapsed="false">
      <c r="A13" s="18" t="s">
        <v>169</v>
      </c>
    </row>
    <row r="14" customFormat="false" ht="30" hidden="false" customHeight="true" outlineLevel="0" collapsed="false">
      <c r="A14" s="4" t="s">
        <v>170</v>
      </c>
      <c r="B14" s="4" t="s">
        <v>171</v>
      </c>
      <c r="C14" s="4" t="s">
        <v>172</v>
      </c>
      <c r="D14" s="4" t="s">
        <v>51</v>
      </c>
      <c r="E14" s="4" t="s">
        <v>173</v>
      </c>
    </row>
    <row r="15" customFormat="false" ht="16.5" hidden="false" customHeight="true" outlineLevel="0" collapsed="false">
      <c r="A15" s="7" t="n">
        <v>1</v>
      </c>
      <c r="B15" s="7" t="s">
        <v>137</v>
      </c>
      <c r="C15" s="7" t="n">
        <f aca="false">INDEX('Sprint Backlog'!$F$6:$F$35,MATCH(B15,'Sprint Backlog'!$B$6:$B$35,0))</f>
        <v>3</v>
      </c>
      <c r="D15" s="7" t="str">
        <f aca="false">INDEX('Sprint Backlog'!$E$6:$E$35,MATCH(B15,'Sprint Backlog'!$B$6:$B$35,0))</f>
        <v>Should</v>
      </c>
      <c r="E15" s="8" t="s">
        <v>174</v>
      </c>
    </row>
    <row r="16" customFormat="false" ht="16.5" hidden="false" customHeight="true" outlineLevel="0" collapsed="false">
      <c r="A16" s="7" t="n">
        <v>2</v>
      </c>
      <c r="B16" s="7" t="s">
        <v>153</v>
      </c>
      <c r="C16" s="7" t="n">
        <f aca="false">INDEX('Sprint Backlog'!$F$6:$F$35,MATCH(B16,'Sprint Backlog'!$B$6:$B$35,0))</f>
        <v>3</v>
      </c>
      <c r="D16" s="7" t="str">
        <f aca="false">INDEX('Sprint Backlog'!$E$6:$E$35,MATCH(B16,'Sprint Backlog'!$B$6:$B$35,0))</f>
        <v>Should</v>
      </c>
      <c r="E16" s="8" t="s">
        <v>175</v>
      </c>
    </row>
    <row r="17" customFormat="false" ht="16.5" hidden="false" customHeight="true" outlineLevel="0" collapsed="false">
      <c r="A17" s="7" t="n">
        <v>3</v>
      </c>
      <c r="B17" s="7" t="s">
        <v>106</v>
      </c>
      <c r="C17" s="7" t="n">
        <f aca="false">INDEX('Sprint Backlog'!$F$6:$F$35,MATCH(B17,'Sprint Backlog'!$B$6:$B$35,0))</f>
        <v>3</v>
      </c>
      <c r="D17" s="7" t="str">
        <f aca="false">INDEX('Sprint Backlog'!$E$6:$E$35,MATCH(B17,'Sprint Backlog'!$B$6:$B$35,0))</f>
        <v>Should</v>
      </c>
      <c r="E17" s="8" t="s">
        <v>176</v>
      </c>
    </row>
    <row r="18" customFormat="false" ht="16.5" hidden="false" customHeight="true" outlineLevel="0" collapsed="false">
      <c r="A18" s="7" t="n">
        <v>4</v>
      </c>
      <c r="B18" s="7" t="s">
        <v>86</v>
      </c>
      <c r="C18" s="7" t="n">
        <f aca="false">INDEX('Sprint Backlog'!$F$6:$F$35,MATCH(B18,'Sprint Backlog'!$B$6:$B$35,0))</f>
        <v>5</v>
      </c>
      <c r="D18" s="7" t="str">
        <f aca="false">INDEX('Sprint Backlog'!$E$6:$E$35,MATCH(B18,'Sprint Backlog'!$B$6:$B$35,0))</f>
        <v>Should</v>
      </c>
      <c r="E18" s="8" t="s">
        <v>177</v>
      </c>
    </row>
    <row r="19" customFormat="false" ht="28.5" hidden="false" customHeight="true" outlineLevel="0" collapsed="false">
      <c r="A19" s="7" t="n">
        <v>5</v>
      </c>
      <c r="B19" s="7" t="s">
        <v>178</v>
      </c>
      <c r="C19" s="7" t="s">
        <v>179</v>
      </c>
      <c r="D19" s="7" t="s">
        <v>179</v>
      </c>
      <c r="E19" s="8" t="s">
        <v>180</v>
      </c>
    </row>
  </sheetData>
  <mergeCells count="2"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0"/>
  </cols>
  <sheetData>
    <row r="1" customFormat="false" ht="24" hidden="false" customHeight="true" outlineLevel="0" collapsed="false">
      <c r="A1" s="1" t="s">
        <v>181</v>
      </c>
    </row>
    <row r="2" customFormat="false" ht="25.5" hidden="false" customHeight="true" outlineLevel="0" collapsed="false">
      <c r="A2" s="2" t="s">
        <v>1</v>
      </c>
      <c r="B2" s="2"/>
    </row>
    <row r="3" customFormat="false" ht="15" hidden="false" customHeight="true" outlineLevel="0" collapsed="false">
      <c r="A3" s="3" t="s">
        <v>182</v>
      </c>
      <c r="B3" s="3"/>
    </row>
    <row r="6" customFormat="false" ht="30" hidden="false" customHeight="true" outlineLevel="0" collapsed="false">
      <c r="A6" s="4" t="s">
        <v>183</v>
      </c>
      <c r="B6" s="4" t="s">
        <v>184</v>
      </c>
    </row>
    <row r="7" customFormat="false" ht="16.5" hidden="false" customHeight="true" outlineLevel="0" collapsed="false">
      <c r="A7" s="7" t="n">
        <v>1</v>
      </c>
      <c r="B7" s="8" t="s">
        <v>185</v>
      </c>
    </row>
    <row r="8" customFormat="false" ht="16.5" hidden="false" customHeight="true" outlineLevel="0" collapsed="false">
      <c r="A8" s="11" t="n">
        <v>2</v>
      </c>
      <c r="B8" s="12" t="s">
        <v>186</v>
      </c>
    </row>
    <row r="9" customFormat="false" ht="16.5" hidden="false" customHeight="true" outlineLevel="0" collapsed="false">
      <c r="A9" s="7" t="n">
        <v>3</v>
      </c>
      <c r="B9" s="8" t="s">
        <v>187</v>
      </c>
    </row>
    <row r="10" customFormat="false" ht="16.5" hidden="false" customHeight="true" outlineLevel="0" collapsed="false">
      <c r="A10" s="11" t="n">
        <v>4</v>
      </c>
      <c r="B10" s="12" t="s">
        <v>188</v>
      </c>
    </row>
    <row r="11" customFormat="false" ht="16.5" hidden="false" customHeight="true" outlineLevel="0" collapsed="false">
      <c r="A11" s="7" t="n">
        <v>5</v>
      </c>
      <c r="B11" s="8" t="s">
        <v>189</v>
      </c>
    </row>
    <row r="12" customFormat="false" ht="16.5" hidden="false" customHeight="true" outlineLevel="0" collapsed="false">
      <c r="A12" s="11" t="n">
        <v>6</v>
      </c>
      <c r="B12" s="12" t="s">
        <v>190</v>
      </c>
    </row>
    <row r="13" customFormat="false" ht="16.5" hidden="false" customHeight="true" outlineLevel="0" collapsed="false">
      <c r="A13" s="7" t="n">
        <v>7</v>
      </c>
      <c r="B13" s="8" t="s">
        <v>191</v>
      </c>
    </row>
    <row r="14" customFormat="false" ht="16.5" hidden="false" customHeight="true" outlineLevel="0" collapsed="false">
      <c r="A14" s="11" t="n">
        <v>8</v>
      </c>
      <c r="B14" s="12" t="s">
        <v>192</v>
      </c>
    </row>
    <row r="15" customFormat="false" ht="16.5" hidden="false" customHeight="true" outlineLevel="0" collapsed="false">
      <c r="A15" s="7" t="n">
        <v>9</v>
      </c>
      <c r="B15" s="8" t="s">
        <v>193</v>
      </c>
    </row>
    <row r="16" customFormat="false" ht="16.5" hidden="false" customHeight="true" outlineLevel="0" collapsed="false">
      <c r="A16" s="11" t="n">
        <v>10</v>
      </c>
      <c r="B16" s="12" t="s">
        <v>194</v>
      </c>
    </row>
    <row r="19" customFormat="false" ht="30" hidden="false" customHeight="true" outlineLevel="0" collapsed="false">
      <c r="A19" s="4" t="s">
        <v>183</v>
      </c>
      <c r="B19" s="4" t="s">
        <v>195</v>
      </c>
    </row>
    <row r="20" customFormat="false" ht="16.5" hidden="false" customHeight="true" outlineLevel="0" collapsed="false">
      <c r="A20" s="7" t="n">
        <v>1</v>
      </c>
      <c r="B20" s="8" t="s">
        <v>196</v>
      </c>
    </row>
    <row r="21" customFormat="false" ht="16.5" hidden="false" customHeight="true" outlineLevel="0" collapsed="false">
      <c r="A21" s="11" t="n">
        <v>2</v>
      </c>
      <c r="B21" s="12" t="s">
        <v>197</v>
      </c>
    </row>
    <row r="22" customFormat="false" ht="16.5" hidden="false" customHeight="true" outlineLevel="0" collapsed="false">
      <c r="A22" s="7" t="n">
        <v>3</v>
      </c>
      <c r="B22" s="8" t="s">
        <v>198</v>
      </c>
    </row>
    <row r="23" customFormat="false" ht="16.5" hidden="false" customHeight="true" outlineLevel="0" collapsed="false">
      <c r="A23" s="11" t="n">
        <v>4</v>
      </c>
      <c r="B23" s="12" t="s">
        <v>199</v>
      </c>
    </row>
    <row r="24" customFormat="false" ht="16.5" hidden="false" customHeight="true" outlineLevel="0" collapsed="false">
      <c r="A24" s="7" t="n">
        <v>5</v>
      </c>
      <c r="B24" s="8" t="s">
        <v>200</v>
      </c>
    </row>
    <row r="25" customFormat="false" ht="16.5" hidden="false" customHeight="true" outlineLevel="0" collapsed="false">
      <c r="A25" s="11" t="n">
        <v>6</v>
      </c>
      <c r="B25" s="12" t="s">
        <v>201</v>
      </c>
    </row>
  </sheetData>
  <mergeCells count="2">
    <mergeCell ref="A2:B2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48"/>
    <col collapsed="false" customWidth="true" hidden="false" outlineLevel="0" max="5" min="5" style="0" width="70"/>
  </cols>
  <sheetData>
    <row r="1" customFormat="false" ht="24" hidden="false" customHeight="true" outlineLevel="0" collapsed="false">
      <c r="A1" s="1" t="s">
        <v>202</v>
      </c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</row>
    <row r="3" customFormat="false" ht="15" hidden="false" customHeight="true" outlineLevel="0" collapsed="false">
      <c r="A3" s="3" t="s">
        <v>203</v>
      </c>
      <c r="B3" s="3"/>
      <c r="C3" s="3"/>
      <c r="D3" s="3"/>
      <c r="E3" s="3"/>
    </row>
    <row r="5" customFormat="false" ht="30" hidden="false" customHeight="true" outlineLevel="0" collapsed="false">
      <c r="A5" s="4" t="s">
        <v>204</v>
      </c>
      <c r="B5" s="4" t="s">
        <v>205</v>
      </c>
      <c r="C5" s="4" t="s">
        <v>206</v>
      </c>
      <c r="D5" s="4" t="s">
        <v>207</v>
      </c>
      <c r="E5" s="4" t="s">
        <v>208</v>
      </c>
    </row>
    <row r="6" customFormat="false" ht="16.5" hidden="false" customHeight="true" outlineLevel="0" collapsed="false">
      <c r="A6" s="19" t="s">
        <v>209</v>
      </c>
      <c r="B6" s="8" t="s">
        <v>210</v>
      </c>
      <c r="C6" s="7" t="s">
        <v>211</v>
      </c>
      <c r="D6" s="8" t="s">
        <v>212</v>
      </c>
      <c r="E6" s="8" t="s">
        <v>213</v>
      </c>
    </row>
    <row r="7" customFormat="false" ht="16.5" hidden="false" customHeight="true" outlineLevel="0" collapsed="false">
      <c r="A7" s="20" t="s">
        <v>214</v>
      </c>
      <c r="B7" s="12" t="s">
        <v>215</v>
      </c>
      <c r="C7" s="11" t="s">
        <v>216</v>
      </c>
      <c r="D7" s="12" t="s">
        <v>217</v>
      </c>
      <c r="E7" s="12" t="s">
        <v>218</v>
      </c>
    </row>
    <row r="8" customFormat="false" ht="16.5" hidden="false" customHeight="true" outlineLevel="0" collapsed="false">
      <c r="A8" s="19" t="s">
        <v>219</v>
      </c>
      <c r="B8" s="8" t="s">
        <v>220</v>
      </c>
      <c r="C8" s="7" t="s">
        <v>221</v>
      </c>
      <c r="D8" s="8" t="s">
        <v>222</v>
      </c>
      <c r="E8" s="8" t="s">
        <v>223</v>
      </c>
    </row>
    <row r="9" customFormat="false" ht="16.5" hidden="false" customHeight="true" outlineLevel="0" collapsed="false">
      <c r="A9" s="20" t="s">
        <v>224</v>
      </c>
      <c r="B9" s="12" t="s">
        <v>225</v>
      </c>
      <c r="C9" s="11" t="s">
        <v>226</v>
      </c>
      <c r="D9" s="12" t="s">
        <v>227</v>
      </c>
      <c r="E9" s="12" t="s">
        <v>228</v>
      </c>
    </row>
    <row r="10" customFormat="false" ht="28.5" hidden="false" customHeight="true" outlineLevel="0" collapsed="false">
      <c r="A10" s="19" t="s">
        <v>229</v>
      </c>
      <c r="B10" s="8" t="s">
        <v>230</v>
      </c>
      <c r="C10" s="7" t="s">
        <v>221</v>
      </c>
      <c r="D10" s="8" t="s">
        <v>231</v>
      </c>
      <c r="E10" s="8" t="s">
        <v>232</v>
      </c>
    </row>
    <row r="11" customFormat="false" ht="16.5" hidden="false" customHeight="true" outlineLevel="0" collapsed="false">
      <c r="A11" s="20" t="s">
        <v>233</v>
      </c>
      <c r="B11" s="12" t="s">
        <v>234</v>
      </c>
      <c r="C11" s="11" t="s">
        <v>221</v>
      </c>
      <c r="D11" s="12" t="s">
        <v>235</v>
      </c>
      <c r="E11" s="12" t="s">
        <v>236</v>
      </c>
    </row>
  </sheetData>
  <mergeCells count="2"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2026-10-17T05:38:20Z</dcterms:created>
  <dc:creator>openpyxl</dc:creator>
  <dc:description/>
  <dc:language>en-US</dc:language>
  <cp:lastModifiedBy/>
  <dcterms:modified xsi:type="dcterms:W3CDTF">2026-10-17T05:38:20Z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